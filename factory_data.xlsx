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\Downloads\Fifth term\پروژه فناوری اطلاعات\"/>
    </mc:Choice>
  </mc:AlternateContent>
  <xr:revisionPtr revIDLastSave="0" documentId="13_ncr:1_{9265D594-06E5-4D4B-802C-A81B39EBE606}" xr6:coauthVersionLast="47" xr6:coauthVersionMax="47" xr10:uidLastSave="{00000000-0000-0000-0000-000000000000}"/>
  <bookViews>
    <workbookView xWindow="-108" yWindow="-108" windowWidth="23256" windowHeight="12576" activeTab="4" xr2:uid="{2B383CEE-269E-4F88-A957-20B5E41BDE40}"/>
  </bookViews>
  <sheets>
    <sheet name="پرس" sheetId="1" r:id="rId1"/>
    <sheet name="خط لعاب" sheetId="2" r:id="rId2"/>
    <sheet name="تجمیع خط لعاب" sheetId="3" r:id="rId3"/>
    <sheet name="کوره " sheetId="4" r:id="rId4"/>
    <sheet name="تجمیع خط کوره" sheetId="5" r:id="rId5"/>
    <sheet name="بسته بندی " sheetId="6" r:id="rId6"/>
    <sheet name="تجمیع بسته بندی" sheetId="7" r:id="rId7"/>
    <sheet name="Sheet1" sheetId="8" r:id="rId8"/>
  </sheets>
  <definedNames>
    <definedName name="_xlnm._FilterDatabase" localSheetId="5" hidden="1">'بسته بندی '!$A$1:$L$61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3" i="7" l="1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4" i="7"/>
  <c r="K33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4" i="7"/>
  <c r="D3" i="7"/>
  <c r="L2" i="6"/>
  <c r="H2" i="1" l="1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2" i="4"/>
  <c r="L60" i="6"/>
  <c r="L61" i="6"/>
  <c r="L27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E2" i="3"/>
  <c r="E31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I2" i="3"/>
  <c r="G40" i="1" l="1"/>
  <c r="G25" i="1"/>
  <c r="G61" i="1" l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4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G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6" i="1"/>
  <c r="G27" i="1"/>
  <c r="G28" i="1"/>
  <c r="G29" i="1"/>
  <c r="G30" i="1"/>
  <c r="G31" i="1"/>
  <c r="G32" i="1"/>
  <c r="G3" i="1"/>
  <c r="G2" i="1"/>
</calcChain>
</file>

<file path=xl/sharedStrings.xml><?xml version="1.0" encoding="utf-8"?>
<sst xmlns="http://schemas.openxmlformats.org/spreadsheetml/2006/main" count="1094" uniqueCount="128">
  <si>
    <t>شماره پرس</t>
  </si>
  <si>
    <t>متراژ تولیدی(متر مربع)</t>
  </si>
  <si>
    <t xml:space="preserve">   تاریخ</t>
  </si>
  <si>
    <t xml:space="preserve">     ردیف</t>
  </si>
  <si>
    <t xml:space="preserve">      ماه</t>
  </si>
  <si>
    <t>1404/09/01</t>
  </si>
  <si>
    <t>1404/09/02</t>
  </si>
  <si>
    <t xml:space="preserve">   تعداد برگ</t>
  </si>
  <si>
    <t xml:space="preserve">    خط</t>
  </si>
  <si>
    <t xml:space="preserve">   تعداد ضربه</t>
  </si>
  <si>
    <t xml:space="preserve">     تجمعی تولید</t>
  </si>
  <si>
    <t>1404/09/03</t>
  </si>
  <si>
    <t>1404/09/04</t>
  </si>
  <si>
    <t>1404/09/05</t>
  </si>
  <si>
    <t>1404/09/10</t>
  </si>
  <si>
    <t>1404/09/11</t>
  </si>
  <si>
    <t>1404/09/12</t>
  </si>
  <si>
    <t>1404/09/13</t>
  </si>
  <si>
    <t>1404/09/14</t>
  </si>
  <si>
    <t>1404/09/15</t>
  </si>
  <si>
    <t>1404/09/6</t>
  </si>
  <si>
    <t>1404/09/7</t>
  </si>
  <si>
    <t>1404/09/8</t>
  </si>
  <si>
    <t>1404/09/9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</si>
  <si>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</si>
  <si>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</si>
  <si>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</si>
  <si>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</si>
  <si>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</si>
  <si>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</si>
  <si>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</si>
  <si>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</si>
  <si>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</si>
  <si>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</si>
  <si>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</si>
  <si>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</si>
  <si>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</si>
  <si>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</si>
  <si>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</si>
  <si>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آذر</t>
  </si>
  <si>
    <t>ردیف</t>
  </si>
  <si>
    <t>شماره خط</t>
  </si>
  <si>
    <t>تعداد برگ چاپ شده</t>
  </si>
  <si>
    <t>متراژ تولیدی (متر مربع)</t>
  </si>
  <si>
    <t xml:space="preserve">   سایز</t>
  </si>
  <si>
    <t>1404/09/5</t>
  </si>
  <si>
    <t>60*60</t>
  </si>
  <si>
    <t>60*120</t>
  </si>
  <si>
    <t>6*120</t>
  </si>
  <si>
    <t>آریسا</t>
  </si>
  <si>
    <t xml:space="preserve">آناشید </t>
  </si>
  <si>
    <t xml:space="preserve">ملودی </t>
  </si>
  <si>
    <t xml:space="preserve">آناپلین </t>
  </si>
  <si>
    <t>آناس گرین</t>
  </si>
  <si>
    <t>سیور کادا</t>
  </si>
  <si>
    <t>آنالایت بلو</t>
  </si>
  <si>
    <t>پاتریشا</t>
  </si>
  <si>
    <t>بلک ارکید</t>
  </si>
  <si>
    <t>اسکایلر</t>
  </si>
  <si>
    <t>پالرمو</t>
  </si>
  <si>
    <t>تالیان</t>
  </si>
  <si>
    <t xml:space="preserve">سفید ساده </t>
  </si>
  <si>
    <t>هانا کرم</t>
  </si>
  <si>
    <t>آتریس</t>
  </si>
  <si>
    <t>ژرمین</t>
  </si>
  <si>
    <t>مارتا</t>
  </si>
  <si>
    <t>تسیو</t>
  </si>
  <si>
    <t>استلا</t>
  </si>
  <si>
    <t>متراژ(مترمربع)</t>
  </si>
  <si>
    <t xml:space="preserve">  میانگین</t>
  </si>
  <si>
    <t xml:space="preserve">     ماه</t>
  </si>
  <si>
    <t xml:space="preserve">   خط2</t>
  </si>
  <si>
    <t xml:space="preserve">         تاریخ</t>
  </si>
  <si>
    <t xml:space="preserve">   1404/09/01</t>
  </si>
  <si>
    <t xml:space="preserve">   1404/09/02</t>
  </si>
  <si>
    <t xml:space="preserve">   1404/09/03</t>
  </si>
  <si>
    <t xml:space="preserve">   1404/09/04</t>
  </si>
  <si>
    <t xml:space="preserve">   1404/09/05</t>
  </si>
  <si>
    <t xml:space="preserve">   1404/09/06</t>
  </si>
  <si>
    <t xml:space="preserve">   1404/09/07</t>
  </si>
  <si>
    <t xml:space="preserve">   1404/09/08</t>
  </si>
  <si>
    <t xml:space="preserve">   1404/09/09</t>
  </si>
  <si>
    <t xml:space="preserve">   1404/09/10</t>
  </si>
  <si>
    <t xml:space="preserve">   1404/09/11</t>
  </si>
  <si>
    <t xml:space="preserve">   1404/09/12</t>
  </si>
  <si>
    <t xml:space="preserve">   1404/09/13</t>
  </si>
  <si>
    <t xml:space="preserve">   1404/09/14</t>
  </si>
  <si>
    <t xml:space="preserve">   1404/09/15</t>
  </si>
  <si>
    <t xml:space="preserve">   1404/09/16</t>
  </si>
  <si>
    <t xml:space="preserve">   1404/09/17</t>
  </si>
  <si>
    <t xml:space="preserve">   1404/09/18</t>
  </si>
  <si>
    <t xml:space="preserve">   1404/09/19</t>
  </si>
  <si>
    <t xml:space="preserve">   1404/09/20</t>
  </si>
  <si>
    <t xml:space="preserve">   1404/09/21</t>
  </si>
  <si>
    <t xml:space="preserve">   1404/09/22</t>
  </si>
  <si>
    <t xml:space="preserve">   1404/09/23</t>
  </si>
  <si>
    <t xml:space="preserve">   1404/09/24</t>
  </si>
  <si>
    <t xml:space="preserve">   1404/09/25</t>
  </si>
  <si>
    <t xml:space="preserve">   1404/09/26</t>
  </si>
  <si>
    <t xml:space="preserve">   1404/09/27</t>
  </si>
  <si>
    <t xml:space="preserve">   1404/09/28</t>
  </si>
  <si>
    <t xml:space="preserve">   1404/09/29</t>
  </si>
  <si>
    <t xml:space="preserve">   1404/09/30</t>
  </si>
  <si>
    <t xml:space="preserve">   خط1</t>
  </si>
  <si>
    <t xml:space="preserve"> 60*60</t>
  </si>
  <si>
    <t xml:space="preserve"> 60*120</t>
  </si>
  <si>
    <t>تاریخ</t>
  </si>
  <si>
    <t>سایز</t>
  </si>
  <si>
    <t>متراژ</t>
  </si>
  <si>
    <t>طرح</t>
  </si>
  <si>
    <t>تعداد برگ</t>
  </si>
  <si>
    <t>متراژ تولیدی</t>
  </si>
  <si>
    <t xml:space="preserve">  ماه</t>
  </si>
  <si>
    <t xml:space="preserve">   طرح</t>
  </si>
  <si>
    <t>مجموع</t>
  </si>
  <si>
    <t xml:space="preserve">    سایز</t>
  </si>
  <si>
    <t>درجه 2</t>
  </si>
  <si>
    <t>درجه 3</t>
  </si>
  <si>
    <t>درجه 4</t>
  </si>
  <si>
    <t>درجه 5</t>
  </si>
  <si>
    <t>ضایعات ویژه</t>
  </si>
  <si>
    <t>ضایعات معمولی</t>
  </si>
  <si>
    <t>ضایعات 2</t>
  </si>
  <si>
    <t xml:space="preserve">     تولید</t>
  </si>
  <si>
    <t>1404/09/06</t>
  </si>
  <si>
    <t>1404/09/07</t>
  </si>
  <si>
    <t>1404/09/08</t>
  </si>
  <si>
    <t>1404/09/09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</si>
</sst>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60429]dd/mm/yyyy;@"/>
  </numFmts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sz val="8"/>
      <name val="Arial"/>
      <family val="2"/>
      <charset val="178"/>
      <scheme val="minor"/>
    </font>
    <font>
      <b/>
      <sz val="14"/>
      <color theme="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4" fillId="3" borderId="0" xfId="0" applyFont="1" applyFill="1" applyAlignment="1">
      <alignment horizontal="center" readingOrder="1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 applyBorder="1" applyAlignment="1"/>
    <xf numFmtId="1" fontId="4" fillId="0" borderId="0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3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 applyAlignment="1"/>
    <xf numFmtId="2" fontId="4" fillId="7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1309-2C20-485A-A7D9-C683091FAFEB}">
  <sheetPr>
    <tabColor rgb="FFFF0000"/>
  </sheetPr>
  <dimension ref="A1:Q65"/>
  <sheetViews>
    <sheetView rightToLeft="1" workbookViewId="0">
      <selection activeCell="H2" sqref="H2"/>
    </sheetView>
  </sheetViews>
  <sheetFormatPr defaultRowHeight="16.8" x14ac:dyDescent="0.5"/>
  <cols>
    <col min="1" max="1" width="8.19921875" style="1" customWidth="1"/>
    <col min="2" max="2" width="15.69921875" style="6" customWidth="1"/>
    <col min="3" max="3" width="8.796875" style="1"/>
    <col min="4" max="4" width="11.19921875" style="1" customWidth="1"/>
    <col min="5" max="5" width="17.69921875" style="1" customWidth="1"/>
    <col min="6" max="6" width="10.296875" style="1" customWidth="1"/>
    <col min="7" max="7" width="12.8984375" style="1" customWidth="1"/>
    <col min="8" max="8" width="18.796875" style="1" customWidth="1"/>
    <col min="9" max="9" width="16.59765625" style="1" customWidth="1"/>
    <col min="10" max="10" width="10.69921875" style="1" customWidth="1"/>
    <col min="11" max="16384" width="8.796875" style="1"/>
  </cols>
  <sheetData>
    <row r="1" spans="1:17" s="4" customFormat="1" ht="19.2" customHeight="1" x14ac:dyDescent="0.75">
      <c r="A1" s="7" t="s">
        <v>3</v>
      </c>
      <c r="B1" s="7" t="s">
        <v>2</v>
      </c>
      <c r="C1" s="7" t="s">
        <v>8</v>
      </c>
      <c r="D1" s="7" t="s">
        <v>0</v>
      </c>
      <c r="E1" s="7" t="s">
        <v>115</v>
      </c>
      <c r="F1" s="7" t="s">
        <v>9</v>
      </c>
      <c r="G1" s="7" t="s">
        <v>7</v>
      </c>
      <c r="H1" s="7" t="s">
        <v>1</v>
      </c>
      <c r="I1" s="7" t="s">
        <v>10</v>
      </c>
      <c r="J1" s="7" t="s">
        <v>4</v>
      </c>
      <c r="L1" s="3"/>
      <c r="M1" s="3"/>
      <c r="N1" s="3"/>
      <c r="O1" s="3"/>
      <c r="P1" s="3"/>
    </row>
    <row r="2" spans="1:17" ht="23.4" x14ac:dyDescent="0.75">
      <c r="A2" s="12">
        <v>1</v>
      </c>
      <c r="B2" s="12" t="s">
        <v>5</v>
      </c>
      <c r="C2" s="12">
        <v>1</v>
      </c>
      <c r="D2" s="12">
        <v>1</v>
      </c>
      <c r="E2" s="12" t="s">
        <v>46</v>
      </c>
      <c r="F2" s="12">
        <v>5000</v>
      </c>
      <c r="G2" s="15">
        <f>F2*3</f>
        <v>15000</v>
      </c>
      <c r="H2" s="16">
        <f>IF(E2="60*60",0.36*G2,0.72*G2)</f>
        <v>5400</v>
      </c>
      <c r="I2" s="12">
        <f>H2</f>
        <v>5400</v>
      </c>
      <c r="J2" s="12" t="s">
        <v>39</v>
      </c>
      <c r="K2" s="2"/>
      <c r="L2" s="2"/>
      <c r="M2" s="2"/>
      <c r="N2" s="2"/>
      <c r="O2" s="2"/>
      <c r="P2" s="2"/>
    </row>
    <row r="3" spans="1:17" ht="23.4" x14ac:dyDescent="0.75">
      <c r="A3" s="12">
        <v>1</v>
      </c>
      <c r="B3" s="12" t="s">
        <v>5</v>
      </c>
      <c r="C3" s="12">
        <v>2</v>
      </c>
      <c r="D3" s="12">
        <v>2</v>
      </c>
      <c r="E3" s="12" t="s">
        <v>47</v>
      </c>
      <c r="F3" s="12">
        <v>3000</v>
      </c>
      <c r="G3" s="17">
        <f>F3*2</f>
        <v>6000</v>
      </c>
      <c r="H3" s="16">
        <f t="shared" ref="H3:H61" si="0">IF(E3="60*60",G3*0.36,G3*0.72)</f>
        <v>4320</v>
      </c>
      <c r="I3" s="12">
        <f t="shared" ref="I3:I61" si="1">H3</f>
        <v>4320</v>
      </c>
      <c r="J3" s="12" t="s">
        <v>39</v>
      </c>
      <c r="K3" s="2"/>
      <c r="L3" s="2"/>
      <c r="M3" s="2"/>
      <c r="N3" s="2"/>
      <c r="O3" s="2"/>
      <c r="P3" s="2"/>
    </row>
    <row r="4" spans="1:17" ht="23.4" x14ac:dyDescent="0.75">
      <c r="A4" s="12">
        <v>2</v>
      </c>
      <c r="B4" s="12" t="s">
        <v>6</v>
      </c>
      <c r="C4" s="12">
        <v>1</v>
      </c>
      <c r="D4" s="12">
        <v>1</v>
      </c>
      <c r="E4" s="12" t="s">
        <v>46</v>
      </c>
      <c r="F4" s="12">
        <v>4000</v>
      </c>
      <c r="G4" s="17">
        <f t="shared" ref="G4:G61" si="2">F4*2</f>
        <v>8000</v>
      </c>
      <c r="H4" s="16">
        <f t="shared" si="0"/>
        <v>2880</v>
      </c>
      <c r="I4" s="12">
        <f t="shared" si="1"/>
        <v>2880</v>
      </c>
      <c r="J4" s="12" t="s">
        <v>39</v>
      </c>
      <c r="K4" s="2"/>
      <c r="L4" s="2"/>
      <c r="M4" s="2"/>
      <c r="N4" s="2"/>
      <c r="O4" s="2"/>
      <c r="P4" s="2"/>
    </row>
    <row r="5" spans="1:17" ht="23.4" x14ac:dyDescent="0.75">
      <c r="A5" s="12">
        <v>2</v>
      </c>
      <c r="B5" s="12" t="s">
        <v>6</v>
      </c>
      <c r="C5" s="12">
        <v>2</v>
      </c>
      <c r="D5" s="12">
        <v>2</v>
      </c>
      <c r="E5" s="12" t="s">
        <v>47</v>
      </c>
      <c r="F5" s="12">
        <v>2000</v>
      </c>
      <c r="G5" s="17">
        <f t="shared" si="2"/>
        <v>4000</v>
      </c>
      <c r="H5" s="16">
        <f t="shared" si="0"/>
        <v>2880</v>
      </c>
      <c r="I5" s="12">
        <f t="shared" si="1"/>
        <v>2880</v>
      </c>
      <c r="J5" s="12" t="s">
        <v>39</v>
      </c>
      <c r="K5" s="2"/>
      <c r="L5" s="2"/>
      <c r="M5" s="2"/>
      <c r="N5" s="2"/>
      <c r="O5" s="2"/>
      <c r="P5" s="2"/>
      <c r="Q5" s="2"/>
    </row>
    <row r="6" spans="1:17" ht="23.4" x14ac:dyDescent="0.75">
      <c r="A6" s="12">
        <v>3</v>
      </c>
      <c r="B6" s="12" t="s">
        <v>11</v>
      </c>
      <c r="C6" s="12">
        <v>1</v>
      </c>
      <c r="D6" s="12">
        <v>1</v>
      </c>
      <c r="E6" s="12" t="s">
        <v>46</v>
      </c>
      <c r="F6" s="12">
        <v>1500</v>
      </c>
      <c r="G6" s="17">
        <f t="shared" si="2"/>
        <v>3000</v>
      </c>
      <c r="H6" s="16">
        <f t="shared" si="0"/>
        <v>1080</v>
      </c>
      <c r="I6" s="12">
        <f t="shared" si="1"/>
        <v>1080</v>
      </c>
      <c r="J6" s="12" t="s">
        <v>39</v>
      </c>
      <c r="K6" s="2"/>
      <c r="L6" s="2"/>
      <c r="M6" s="2"/>
      <c r="N6" s="2"/>
      <c r="O6" s="2"/>
      <c r="P6" s="2"/>
    </row>
    <row r="7" spans="1:17" ht="23.4" x14ac:dyDescent="0.75">
      <c r="A7" s="12">
        <v>3</v>
      </c>
      <c r="B7" s="12" t="s">
        <v>11</v>
      </c>
      <c r="C7" s="12">
        <v>2</v>
      </c>
      <c r="D7" s="12">
        <v>2</v>
      </c>
      <c r="E7" s="12" t="s">
        <v>47</v>
      </c>
      <c r="F7" s="12">
        <v>6000</v>
      </c>
      <c r="G7" s="17">
        <f t="shared" si="2"/>
        <v>12000</v>
      </c>
      <c r="H7" s="16">
        <f t="shared" si="0"/>
        <v>8640</v>
      </c>
      <c r="I7" s="12">
        <f t="shared" si="1"/>
        <v>8640</v>
      </c>
      <c r="J7" s="12" t="s">
        <v>39</v>
      </c>
      <c r="K7" s="2"/>
      <c r="L7" s="2"/>
      <c r="M7" s="2"/>
      <c r="N7" s="2"/>
      <c r="O7" s="2"/>
      <c r="P7" s="2"/>
    </row>
    <row r="8" spans="1:17" ht="23.4" x14ac:dyDescent="0.75">
      <c r="A8" s="12">
        <v>4</v>
      </c>
      <c r="B8" s="12" t="s">
        <v>12</v>
      </c>
      <c r="C8" s="12">
        <v>1</v>
      </c>
      <c r="D8" s="12">
        <v>1</v>
      </c>
      <c r="E8" s="12" t="s">
        <v>46</v>
      </c>
      <c r="F8" s="12">
        <v>2400</v>
      </c>
      <c r="G8" s="17">
        <f t="shared" si="2"/>
        <v>4800</v>
      </c>
      <c r="H8" s="16">
        <f t="shared" si="0"/>
        <v>1728</v>
      </c>
      <c r="I8" s="12">
        <f t="shared" si="1"/>
        <v>1728</v>
      </c>
      <c r="J8" s="12" t="s">
        <v>39</v>
      </c>
      <c r="K8" s="2"/>
      <c r="L8" s="2"/>
      <c r="M8" s="2"/>
      <c r="N8" s="2"/>
      <c r="O8" s="2"/>
      <c r="P8" s="2"/>
    </row>
    <row r="9" spans="1:17" ht="23.4" x14ac:dyDescent="0.75">
      <c r="A9" s="12">
        <v>4</v>
      </c>
      <c r="B9" s="12" t="s">
        <v>12</v>
      </c>
      <c r="C9" s="12">
        <v>2</v>
      </c>
      <c r="D9" s="12">
        <v>2</v>
      </c>
      <c r="E9" s="12" t="s">
        <v>47</v>
      </c>
      <c r="F9" s="12">
        <v>3300</v>
      </c>
      <c r="G9" s="17">
        <f t="shared" si="2"/>
        <v>6600</v>
      </c>
      <c r="H9" s="16">
        <f t="shared" si="0"/>
        <v>4752</v>
      </c>
      <c r="I9" s="12">
        <f t="shared" si="1"/>
        <v>4752</v>
      </c>
      <c r="J9" s="12" t="s">
        <v>39</v>
      </c>
      <c r="K9" s="2"/>
      <c r="L9" s="2"/>
      <c r="M9" s="2"/>
      <c r="N9" s="2"/>
      <c r="O9" s="2"/>
      <c r="P9" s="2"/>
    </row>
    <row r="10" spans="1:17" ht="23.4" x14ac:dyDescent="0.75">
      <c r="A10" s="12">
        <v>5</v>
      </c>
      <c r="B10" s="12" t="s">
        <v>13</v>
      </c>
      <c r="C10" s="12">
        <v>1</v>
      </c>
      <c r="D10" s="12">
        <v>1</v>
      </c>
      <c r="E10" s="12" t="s">
        <v>46</v>
      </c>
      <c r="F10" s="12">
        <v>5400</v>
      </c>
      <c r="G10" s="17">
        <f t="shared" si="2"/>
        <v>10800</v>
      </c>
      <c r="H10" s="16">
        <f t="shared" si="0"/>
        <v>3888</v>
      </c>
      <c r="I10" s="12">
        <f t="shared" si="1"/>
        <v>3888</v>
      </c>
      <c r="J10" s="12" t="s">
        <v>39</v>
      </c>
      <c r="K10" s="2"/>
      <c r="L10" s="2"/>
      <c r="M10" s="2"/>
      <c r="N10" s="2"/>
      <c r="O10" s="2"/>
      <c r="P10" s="2"/>
    </row>
    <row r="11" spans="1:17" ht="23.4" x14ac:dyDescent="0.75">
      <c r="A11" s="12">
        <v>5</v>
      </c>
      <c r="B11" s="12" t="s">
        <v>13</v>
      </c>
      <c r="C11" s="12">
        <v>2</v>
      </c>
      <c r="D11" s="12">
        <v>2</v>
      </c>
      <c r="E11" s="12" t="s">
        <v>47</v>
      </c>
      <c r="F11" s="12">
        <v>1000</v>
      </c>
      <c r="G11" s="17">
        <f t="shared" si="2"/>
        <v>2000</v>
      </c>
      <c r="H11" s="16">
        <f t="shared" si="0"/>
        <v>1440</v>
      </c>
      <c r="I11" s="12">
        <f t="shared" si="1"/>
        <v>1440</v>
      </c>
      <c r="J11" s="12" t="s">
        <v>39</v>
      </c>
      <c r="K11" s="2"/>
      <c r="L11" s="2"/>
      <c r="M11" s="2"/>
      <c r="N11" s="2"/>
      <c r="O11" s="2"/>
      <c r="P11" s="2"/>
    </row>
    <row r="12" spans="1:17" ht="23.4" x14ac:dyDescent="0.75">
      <c r="A12" s="12">
        <v>6</v>
      </c>
      <c r="B12" s="12" t="s">
        <v>20</v>
      </c>
      <c r="C12" s="12">
        <v>1</v>
      </c>
      <c r="D12" s="12">
        <v>1</v>
      </c>
      <c r="E12" s="12" t="s">
        <v>46</v>
      </c>
      <c r="F12" s="12">
        <v>2220</v>
      </c>
      <c r="G12" s="17">
        <f t="shared" si="2"/>
        <v>4440</v>
      </c>
      <c r="H12" s="16">
        <f t="shared" si="0"/>
        <v>1598.3999999999999</v>
      </c>
      <c r="I12" s="12">
        <f t="shared" si="1"/>
        <v>1598.3999999999999</v>
      </c>
      <c r="J12" s="12" t="s">
        <v>39</v>
      </c>
      <c r="K12" s="2"/>
      <c r="L12" s="2"/>
      <c r="M12" s="2"/>
      <c r="N12" s="2"/>
      <c r="O12" s="2"/>
      <c r="P12" s="2"/>
    </row>
    <row r="13" spans="1:17" ht="23.4" x14ac:dyDescent="0.75">
      <c r="A13" s="12">
        <v>6</v>
      </c>
      <c r="B13" s="12" t="s">
        <v>20</v>
      </c>
      <c r="C13" s="12">
        <v>2</v>
      </c>
      <c r="D13" s="12">
        <v>2</v>
      </c>
      <c r="E13" s="12" t="s">
        <v>47</v>
      </c>
      <c r="F13" s="12">
        <v>3300</v>
      </c>
      <c r="G13" s="17">
        <f t="shared" si="2"/>
        <v>6600</v>
      </c>
      <c r="H13" s="16">
        <f t="shared" si="0"/>
        <v>4752</v>
      </c>
      <c r="I13" s="12">
        <f t="shared" si="1"/>
        <v>4752</v>
      </c>
      <c r="J13" s="12" t="s">
        <v>39</v>
      </c>
      <c r="K13" s="2"/>
      <c r="L13" s="2"/>
      <c r="M13" s="2"/>
      <c r="N13" s="2"/>
      <c r="O13" s="2"/>
      <c r="P13" s="2"/>
      <c r="Q13" s="2"/>
    </row>
    <row r="14" spans="1:17" ht="23.4" x14ac:dyDescent="0.75">
      <c r="A14" s="12">
        <v>7</v>
      </c>
      <c r="B14" s="12" t="s">
        <v>21</v>
      </c>
      <c r="C14" s="12">
        <v>1</v>
      </c>
      <c r="D14" s="12">
        <v>1</v>
      </c>
      <c r="E14" s="12" t="s">
        <v>46</v>
      </c>
      <c r="F14" s="12">
        <v>2400</v>
      </c>
      <c r="G14" s="17">
        <f t="shared" si="2"/>
        <v>4800</v>
      </c>
      <c r="H14" s="16">
        <f t="shared" si="0"/>
        <v>1728</v>
      </c>
      <c r="I14" s="12">
        <f t="shared" si="1"/>
        <v>1728</v>
      </c>
      <c r="J14" s="12" t="s">
        <v>39</v>
      </c>
      <c r="K14" s="2"/>
      <c r="L14" s="2"/>
      <c r="M14" s="2"/>
      <c r="N14" s="2"/>
      <c r="O14" s="2"/>
      <c r="P14" s="2"/>
    </row>
    <row r="15" spans="1:17" ht="23.4" x14ac:dyDescent="0.75">
      <c r="A15" s="12">
        <v>7</v>
      </c>
      <c r="B15" s="12" t="s">
        <v>21</v>
      </c>
      <c r="C15" s="12">
        <v>2</v>
      </c>
      <c r="D15" s="12">
        <v>2</v>
      </c>
      <c r="E15" s="12" t="s">
        <v>47</v>
      </c>
      <c r="F15" s="12">
        <v>4400</v>
      </c>
      <c r="G15" s="17">
        <f t="shared" si="2"/>
        <v>8800</v>
      </c>
      <c r="H15" s="16">
        <f t="shared" si="0"/>
        <v>6336</v>
      </c>
      <c r="I15" s="12">
        <f t="shared" si="1"/>
        <v>6336</v>
      </c>
      <c r="J15" s="12" t="s">
        <v>39</v>
      </c>
    </row>
    <row r="16" spans="1:17" ht="23.4" x14ac:dyDescent="0.75">
      <c r="A16" s="12">
        <v>8</v>
      </c>
      <c r="B16" s="12" t="s">
        <v>22</v>
      </c>
      <c r="C16" s="12">
        <v>1</v>
      </c>
      <c r="D16" s="12">
        <v>1</v>
      </c>
      <c r="E16" s="12" t="s">
        <v>46</v>
      </c>
      <c r="F16" s="12">
        <v>3320</v>
      </c>
      <c r="G16" s="17">
        <f t="shared" si="2"/>
        <v>6640</v>
      </c>
      <c r="H16" s="16">
        <f t="shared" si="0"/>
        <v>2390.4</v>
      </c>
      <c r="I16" s="12">
        <f t="shared" si="1"/>
        <v>2390.4</v>
      </c>
      <c r="J16" s="12" t="s">
        <v>39</v>
      </c>
    </row>
    <row r="17" spans="1:16" ht="23.4" x14ac:dyDescent="0.75">
      <c r="A17" s="12">
        <v>8</v>
      </c>
      <c r="B17" s="12" t="s">
        <v>22</v>
      </c>
      <c r="C17" s="12">
        <v>2</v>
      </c>
      <c r="D17" s="12">
        <v>2</v>
      </c>
      <c r="E17" s="12" t="s">
        <v>47</v>
      </c>
      <c r="F17" s="12">
        <v>1330</v>
      </c>
      <c r="G17" s="17">
        <f t="shared" si="2"/>
        <v>2660</v>
      </c>
      <c r="H17" s="16">
        <f t="shared" si="0"/>
        <v>1915.1999999999998</v>
      </c>
      <c r="I17" s="12">
        <f t="shared" si="1"/>
        <v>1915.1999999999998</v>
      </c>
      <c r="J17" s="12" t="s">
        <v>39</v>
      </c>
    </row>
    <row r="18" spans="1:16" ht="23.4" x14ac:dyDescent="0.75">
      <c r="A18" s="12">
        <v>9</v>
      </c>
      <c r="B18" s="12" t="s">
        <v>23</v>
      </c>
      <c r="C18" s="12">
        <v>1</v>
      </c>
      <c r="D18" s="12">
        <v>1</v>
      </c>
      <c r="E18" s="12" t="s">
        <v>46</v>
      </c>
      <c r="F18" s="12">
        <v>2241</v>
      </c>
      <c r="G18" s="17">
        <f t="shared" si="2"/>
        <v>4482</v>
      </c>
      <c r="H18" s="16">
        <f t="shared" si="0"/>
        <v>1613.52</v>
      </c>
      <c r="I18" s="12">
        <f t="shared" si="1"/>
        <v>1613.52</v>
      </c>
      <c r="J18" s="12" t="s">
        <v>39</v>
      </c>
      <c r="K18" s="2"/>
      <c r="L18" s="2"/>
      <c r="M18" s="2"/>
      <c r="N18" s="2"/>
      <c r="O18" s="2"/>
      <c r="P18" s="2"/>
    </row>
    <row r="19" spans="1:16" ht="23.4" x14ac:dyDescent="0.75">
      <c r="A19" s="12">
        <v>9</v>
      </c>
      <c r="B19" s="12" t="s">
        <v>23</v>
      </c>
      <c r="C19" s="12">
        <v>2</v>
      </c>
      <c r="D19" s="12">
        <v>2</v>
      </c>
      <c r="E19" s="12" t="s">
        <v>47</v>
      </c>
      <c r="F19" s="12">
        <v>4600</v>
      </c>
      <c r="G19" s="17">
        <f t="shared" si="2"/>
        <v>9200</v>
      </c>
      <c r="H19" s="16">
        <f t="shared" si="0"/>
        <v>6624</v>
      </c>
      <c r="I19" s="12">
        <f t="shared" si="1"/>
        <v>6624</v>
      </c>
      <c r="J19" s="12" t="s">
        <v>39</v>
      </c>
      <c r="K19" s="2"/>
      <c r="L19" s="2"/>
      <c r="M19" s="2"/>
      <c r="N19" s="2"/>
      <c r="O19" s="2"/>
      <c r="P19" s="2"/>
    </row>
    <row r="20" spans="1:16" ht="23.4" x14ac:dyDescent="0.75">
      <c r="A20" s="12">
        <v>10</v>
      </c>
      <c r="B20" s="12" t="s">
        <v>14</v>
      </c>
      <c r="C20" s="12">
        <v>1</v>
      </c>
      <c r="D20" s="12">
        <v>1</v>
      </c>
      <c r="E20" s="12" t="s">
        <v>46</v>
      </c>
      <c r="F20" s="12">
        <v>2500</v>
      </c>
      <c r="G20" s="17">
        <f t="shared" si="2"/>
        <v>5000</v>
      </c>
      <c r="H20" s="16">
        <f t="shared" si="0"/>
        <v>1800</v>
      </c>
      <c r="I20" s="12">
        <f t="shared" si="1"/>
        <v>1800</v>
      </c>
      <c r="J20" s="12" t="s">
        <v>39</v>
      </c>
      <c r="K20" s="2"/>
      <c r="L20" s="2"/>
      <c r="M20" s="2"/>
      <c r="N20" s="2"/>
      <c r="O20" s="2"/>
      <c r="P20" s="2"/>
    </row>
    <row r="21" spans="1:16" ht="23.4" x14ac:dyDescent="0.75">
      <c r="A21" s="12">
        <v>10</v>
      </c>
      <c r="B21" s="12" t="s">
        <v>14</v>
      </c>
      <c r="C21" s="12">
        <v>2</v>
      </c>
      <c r="D21" s="12">
        <v>2</v>
      </c>
      <c r="E21" s="12" t="s">
        <v>47</v>
      </c>
      <c r="F21" s="12">
        <v>1400</v>
      </c>
      <c r="G21" s="17">
        <f t="shared" si="2"/>
        <v>2800</v>
      </c>
      <c r="H21" s="16">
        <f t="shared" si="0"/>
        <v>2016</v>
      </c>
      <c r="I21" s="12">
        <f t="shared" si="1"/>
        <v>2016</v>
      </c>
      <c r="J21" s="12" t="s">
        <v>39</v>
      </c>
      <c r="K21" s="2"/>
      <c r="L21" s="2"/>
      <c r="M21" s="2"/>
      <c r="N21" s="2"/>
      <c r="O21" s="2"/>
      <c r="P21" s="2"/>
    </row>
    <row r="22" spans="1:16" ht="23.4" x14ac:dyDescent="0.75">
      <c r="A22" s="12">
        <v>11</v>
      </c>
      <c r="B22" s="12" t="s">
        <v>15</v>
      </c>
      <c r="C22" s="12">
        <v>1</v>
      </c>
      <c r="D22" s="12">
        <v>1</v>
      </c>
      <c r="E22" s="12" t="s">
        <v>46</v>
      </c>
      <c r="F22" s="12">
        <v>1230</v>
      </c>
      <c r="G22" s="17">
        <f>F22*2</f>
        <v>2460</v>
      </c>
      <c r="H22" s="16">
        <f t="shared" si="0"/>
        <v>885.6</v>
      </c>
      <c r="I22" s="12">
        <f t="shared" si="1"/>
        <v>885.6</v>
      </c>
      <c r="J22" s="12" t="s">
        <v>39</v>
      </c>
      <c r="K22" s="2"/>
      <c r="L22" s="2"/>
      <c r="M22" s="2"/>
      <c r="N22" s="2"/>
      <c r="O22" s="2"/>
      <c r="P22" s="2"/>
    </row>
    <row r="23" spans="1:16" ht="23.4" x14ac:dyDescent="0.75">
      <c r="A23" s="12">
        <v>11</v>
      </c>
      <c r="B23" s="12" t="s">
        <v>15</v>
      </c>
      <c r="C23" s="12">
        <v>2</v>
      </c>
      <c r="D23" s="12">
        <v>2</v>
      </c>
      <c r="E23" s="12" t="s">
        <v>47</v>
      </c>
      <c r="F23" s="12">
        <v>1400</v>
      </c>
      <c r="G23" s="17">
        <f t="shared" si="2"/>
        <v>2800</v>
      </c>
      <c r="H23" s="16">
        <f t="shared" si="0"/>
        <v>2016</v>
      </c>
      <c r="I23" s="12">
        <f t="shared" si="1"/>
        <v>2016</v>
      </c>
      <c r="J23" s="12" t="s">
        <v>39</v>
      </c>
      <c r="K23" s="2"/>
      <c r="L23" s="2"/>
      <c r="M23" s="2"/>
      <c r="N23" s="2"/>
      <c r="O23" s="2"/>
      <c r="P23" s="2"/>
    </row>
    <row r="24" spans="1:16" ht="23.4" x14ac:dyDescent="0.75">
      <c r="A24" s="12">
        <v>12</v>
      </c>
      <c r="B24" s="12" t="s">
        <v>16</v>
      </c>
      <c r="C24" s="12">
        <v>1</v>
      </c>
      <c r="D24" s="12">
        <v>1</v>
      </c>
      <c r="E24" s="12" t="s">
        <v>46</v>
      </c>
      <c r="F24" s="12">
        <v>1220</v>
      </c>
      <c r="G24" s="17">
        <f>F24*2</f>
        <v>2440</v>
      </c>
      <c r="H24" s="16">
        <f t="shared" si="0"/>
        <v>878.4</v>
      </c>
      <c r="I24" s="12">
        <f t="shared" si="1"/>
        <v>878.4</v>
      </c>
      <c r="J24" s="12" t="s">
        <v>39</v>
      </c>
      <c r="K24" s="2"/>
      <c r="L24" s="2"/>
      <c r="M24" s="2"/>
      <c r="N24" s="2"/>
      <c r="O24" s="2"/>
      <c r="P24" s="2"/>
    </row>
    <row r="25" spans="1:16" ht="23.4" x14ac:dyDescent="0.75">
      <c r="A25" s="12">
        <v>12</v>
      </c>
      <c r="B25" s="12" t="s">
        <v>16</v>
      </c>
      <c r="C25" s="12">
        <v>2</v>
      </c>
      <c r="D25" s="12">
        <v>2</v>
      </c>
      <c r="E25" s="12" t="s">
        <v>47</v>
      </c>
      <c r="F25" s="12">
        <v>2000</v>
      </c>
      <c r="G25" s="17">
        <f>F25*2</f>
        <v>4000</v>
      </c>
      <c r="H25" s="16">
        <f t="shared" si="0"/>
        <v>2880</v>
      </c>
      <c r="I25" s="12">
        <f t="shared" si="1"/>
        <v>2880</v>
      </c>
      <c r="J25" s="12" t="s">
        <v>39</v>
      </c>
      <c r="K25" s="2"/>
      <c r="L25" s="2"/>
      <c r="M25" s="2"/>
      <c r="N25" s="2"/>
      <c r="O25" s="2"/>
      <c r="P25" s="2"/>
    </row>
    <row r="26" spans="1:16" ht="23.4" x14ac:dyDescent="0.75">
      <c r="A26" s="12">
        <v>13</v>
      </c>
      <c r="B26" s="12" t="s">
        <v>17</v>
      </c>
      <c r="C26" s="12">
        <v>1</v>
      </c>
      <c r="D26" s="12">
        <v>1</v>
      </c>
      <c r="E26" s="12" t="s">
        <v>46</v>
      </c>
      <c r="F26" s="12">
        <v>3000</v>
      </c>
      <c r="G26" s="17">
        <f t="shared" si="2"/>
        <v>6000</v>
      </c>
      <c r="H26" s="16">
        <f t="shared" si="0"/>
        <v>2160</v>
      </c>
      <c r="I26" s="12">
        <f t="shared" si="1"/>
        <v>2160</v>
      </c>
      <c r="J26" s="12" t="s">
        <v>39</v>
      </c>
      <c r="K26" s="2"/>
      <c r="L26" s="2"/>
      <c r="M26" s="2"/>
      <c r="N26" s="2"/>
      <c r="O26" s="2"/>
      <c r="P26" s="2"/>
    </row>
    <row r="27" spans="1:16" ht="23.4" x14ac:dyDescent="0.75">
      <c r="A27" s="12">
        <v>13</v>
      </c>
      <c r="B27" s="12" t="s">
        <v>17</v>
      </c>
      <c r="C27" s="12">
        <v>2</v>
      </c>
      <c r="D27" s="12">
        <v>2</v>
      </c>
      <c r="E27" s="12" t="s">
        <v>47</v>
      </c>
      <c r="F27" s="12">
        <v>2100</v>
      </c>
      <c r="G27" s="17">
        <f t="shared" si="2"/>
        <v>4200</v>
      </c>
      <c r="H27" s="16">
        <f t="shared" si="0"/>
        <v>3024</v>
      </c>
      <c r="I27" s="12">
        <f t="shared" si="1"/>
        <v>3024</v>
      </c>
      <c r="J27" s="12" t="s">
        <v>39</v>
      </c>
      <c r="K27" s="2"/>
      <c r="L27" s="2"/>
      <c r="M27" s="2"/>
      <c r="N27" s="2"/>
      <c r="O27" s="2"/>
      <c r="P27" s="2"/>
    </row>
    <row r="28" spans="1:16" ht="23.4" x14ac:dyDescent="0.75">
      <c r="A28" s="12">
        <v>14</v>
      </c>
      <c r="B28" s="12" t="s">
        <v>18</v>
      </c>
      <c r="C28" s="12">
        <v>1</v>
      </c>
      <c r="D28" s="12">
        <v>1</v>
      </c>
      <c r="E28" s="12" t="s">
        <v>46</v>
      </c>
      <c r="F28" s="12">
        <v>3100</v>
      </c>
      <c r="G28" s="17">
        <f t="shared" si="2"/>
        <v>6200</v>
      </c>
      <c r="H28" s="16">
        <f t="shared" si="0"/>
        <v>2232</v>
      </c>
      <c r="I28" s="12">
        <f t="shared" si="1"/>
        <v>2232</v>
      </c>
      <c r="J28" s="12" t="s">
        <v>39</v>
      </c>
      <c r="K28" s="2"/>
      <c r="L28" s="2"/>
      <c r="M28" s="2"/>
      <c r="N28" s="2"/>
      <c r="O28" s="2"/>
      <c r="P28" s="2"/>
    </row>
    <row r="29" spans="1:16" ht="23.4" x14ac:dyDescent="0.75">
      <c r="A29" s="12">
        <v>14</v>
      </c>
      <c r="B29" s="12" t="s">
        <v>18</v>
      </c>
      <c r="C29" s="12">
        <v>2</v>
      </c>
      <c r="D29" s="12">
        <v>2</v>
      </c>
      <c r="E29" s="12" t="s">
        <v>47</v>
      </c>
      <c r="F29" s="12">
        <v>2245</v>
      </c>
      <c r="G29" s="17">
        <f t="shared" si="2"/>
        <v>4490</v>
      </c>
      <c r="H29" s="16">
        <f t="shared" si="0"/>
        <v>3232.7999999999997</v>
      </c>
      <c r="I29" s="12">
        <f t="shared" si="1"/>
        <v>3232.7999999999997</v>
      </c>
      <c r="J29" s="12" t="s">
        <v>39</v>
      </c>
      <c r="K29" s="2"/>
      <c r="L29" s="2"/>
      <c r="M29" s="2"/>
      <c r="N29" s="2"/>
      <c r="O29" s="2"/>
      <c r="P29" s="2"/>
    </row>
    <row r="30" spans="1:16" ht="23.4" x14ac:dyDescent="0.75">
      <c r="A30" s="12">
        <v>15</v>
      </c>
      <c r="B30" s="12" t="s">
        <v>19</v>
      </c>
      <c r="C30" s="12">
        <v>1</v>
      </c>
      <c r="D30" s="12">
        <v>1</v>
      </c>
      <c r="E30" s="12" t="s">
        <v>46</v>
      </c>
      <c r="F30" s="12">
        <v>2246</v>
      </c>
      <c r="G30" s="17">
        <f t="shared" si="2"/>
        <v>4492</v>
      </c>
      <c r="H30" s="16">
        <f t="shared" si="0"/>
        <v>1617.12</v>
      </c>
      <c r="I30" s="12">
        <f t="shared" si="1"/>
        <v>1617.12</v>
      </c>
      <c r="J30" s="12" t="s">
        <v>39</v>
      </c>
      <c r="K30" s="2"/>
      <c r="L30" s="2"/>
      <c r="M30" s="2"/>
      <c r="N30" s="2"/>
      <c r="O30" s="2"/>
      <c r="P30" s="2"/>
    </row>
    <row r="31" spans="1:16" ht="23.4" x14ac:dyDescent="0.75">
      <c r="A31" s="12">
        <v>15</v>
      </c>
      <c r="B31" s="12" t="s">
        <v>19</v>
      </c>
      <c r="C31" s="12">
        <v>2</v>
      </c>
      <c r="D31" s="12">
        <v>2</v>
      </c>
      <c r="E31" s="12" t="s">
        <v>47</v>
      </c>
      <c r="F31" s="12">
        <v>2150</v>
      </c>
      <c r="G31" s="17">
        <f t="shared" si="2"/>
        <v>4300</v>
      </c>
      <c r="H31" s="16">
        <f t="shared" si="0"/>
        <v>3096</v>
      </c>
      <c r="I31" s="12">
        <f t="shared" si="1"/>
        <v>3096</v>
      </c>
      <c r="J31" s="12" t="s">
        <v>39</v>
      </c>
      <c r="K31" s="2"/>
      <c r="L31" s="2"/>
      <c r="M31" s="2"/>
      <c r="N31" s="2"/>
      <c r="O31" s="2"/>
      <c r="P31" s="2"/>
    </row>
    <row r="32" spans="1:16" ht="23.4" x14ac:dyDescent="0.75">
      <c r="A32" s="12">
        <v>16</v>
      </c>
      <c r="B32" s="12" t="s">
        <v>24</v>
      </c>
      <c r="C32" s="12">
        <v>1</v>
      </c>
      <c r="D32" s="12">
        <v>1</v>
      </c>
      <c r="E32" s="12" t="s">
        <v>46</v>
      </c>
      <c r="F32" s="12">
        <v>2300</v>
      </c>
      <c r="G32" s="17">
        <f t="shared" si="2"/>
        <v>4600</v>
      </c>
      <c r="H32" s="16">
        <f t="shared" si="0"/>
        <v>1656</v>
      </c>
      <c r="I32" s="12">
        <f t="shared" si="1"/>
        <v>1656</v>
      </c>
      <c r="J32" s="12" t="s">
        <v>39</v>
      </c>
      <c r="K32" s="2"/>
      <c r="L32" s="2"/>
      <c r="M32" s="2"/>
      <c r="N32" s="2"/>
      <c r="O32" s="2"/>
      <c r="P32" s="2"/>
    </row>
    <row r="33" spans="1:15" ht="23.4" x14ac:dyDescent="0.75">
      <c r="A33" s="12">
        <v>16</v>
      </c>
      <c r="B33" s="12" t="s">
        <v>24</v>
      </c>
      <c r="C33" s="12">
        <v>2</v>
      </c>
      <c r="D33" s="12">
        <v>2</v>
      </c>
      <c r="E33" s="12" t="s">
        <v>47</v>
      </c>
      <c r="F33" s="12">
        <v>1250</v>
      </c>
      <c r="G33" s="15">
        <f t="shared" si="2"/>
        <v>2500</v>
      </c>
      <c r="H33" s="16">
        <f t="shared" si="0"/>
        <v>1800</v>
      </c>
      <c r="I33" s="12">
        <f t="shared" si="1"/>
        <v>1800</v>
      </c>
      <c r="J33" s="12" t="s">
        <v>39</v>
      </c>
      <c r="K33" s="2"/>
      <c r="L33" s="2"/>
      <c r="M33" s="2"/>
      <c r="N33" s="2"/>
      <c r="O33" s="2"/>
    </row>
    <row r="34" spans="1:15" ht="23.4" x14ac:dyDescent="0.75">
      <c r="A34" s="12">
        <v>17</v>
      </c>
      <c r="B34" s="12" t="s">
        <v>25</v>
      </c>
      <c r="C34" s="12">
        <v>1</v>
      </c>
      <c r="D34" s="12">
        <v>1</v>
      </c>
      <c r="E34" s="12" t="s">
        <v>46</v>
      </c>
      <c r="F34" s="12">
        <v>2000</v>
      </c>
      <c r="G34" s="15">
        <f t="shared" si="2"/>
        <v>4000</v>
      </c>
      <c r="H34" s="16">
        <f t="shared" si="0"/>
        <v>1440</v>
      </c>
      <c r="I34" s="12">
        <f t="shared" si="1"/>
        <v>1440</v>
      </c>
      <c r="J34" s="12" t="s">
        <v>39</v>
      </c>
      <c r="K34" s="2"/>
      <c r="L34" s="2"/>
      <c r="M34" s="2"/>
      <c r="N34" s="2"/>
      <c r="O34" s="2"/>
    </row>
    <row r="35" spans="1:15" ht="23.4" x14ac:dyDescent="0.75">
      <c r="A35" s="12">
        <v>17</v>
      </c>
      <c r="B35" s="12" t="s">
        <v>25</v>
      </c>
      <c r="C35" s="12">
        <v>2</v>
      </c>
      <c r="D35" s="12">
        <v>2</v>
      </c>
      <c r="E35" s="12" t="s">
        <v>47</v>
      </c>
      <c r="F35" s="12">
        <v>2250</v>
      </c>
      <c r="G35" s="15">
        <f t="shared" si="2"/>
        <v>4500</v>
      </c>
      <c r="H35" s="16">
        <f t="shared" si="0"/>
        <v>3240</v>
      </c>
      <c r="I35" s="12">
        <f t="shared" si="1"/>
        <v>3240</v>
      </c>
      <c r="J35" s="12" t="s">
        <v>39</v>
      </c>
      <c r="K35" s="2"/>
      <c r="L35" s="2"/>
      <c r="M35" s="2"/>
      <c r="N35" s="2"/>
      <c r="O35" s="2"/>
    </row>
    <row r="36" spans="1:15" ht="23.4" x14ac:dyDescent="0.75">
      <c r="A36" s="12">
        <v>18</v>
      </c>
      <c r="B36" s="12" t="s">
        <v>26</v>
      </c>
      <c r="C36" s="12">
        <v>1</v>
      </c>
      <c r="D36" s="12">
        <v>1</v>
      </c>
      <c r="E36" s="12" t="s">
        <v>46</v>
      </c>
      <c r="F36" s="12">
        <v>2101</v>
      </c>
      <c r="G36" s="15">
        <f t="shared" si="2"/>
        <v>4202</v>
      </c>
      <c r="H36" s="16">
        <f t="shared" si="0"/>
        <v>1512.72</v>
      </c>
      <c r="I36" s="12">
        <f t="shared" si="1"/>
        <v>1512.72</v>
      </c>
      <c r="J36" s="12" t="s">
        <v>39</v>
      </c>
      <c r="K36" s="2"/>
      <c r="L36" s="2"/>
      <c r="M36" s="2"/>
      <c r="N36" s="2"/>
      <c r="O36" s="2"/>
    </row>
    <row r="37" spans="1:15" ht="23.4" x14ac:dyDescent="0.75">
      <c r="A37" s="12">
        <v>18</v>
      </c>
      <c r="B37" s="12" t="s">
        <v>26</v>
      </c>
      <c r="C37" s="12">
        <v>2</v>
      </c>
      <c r="D37" s="12">
        <v>2</v>
      </c>
      <c r="E37" s="12" t="s">
        <v>47</v>
      </c>
      <c r="F37" s="12">
        <v>2200</v>
      </c>
      <c r="G37" s="15">
        <f t="shared" si="2"/>
        <v>4400</v>
      </c>
      <c r="H37" s="16">
        <f t="shared" si="0"/>
        <v>3168</v>
      </c>
      <c r="I37" s="12">
        <f t="shared" si="1"/>
        <v>3168</v>
      </c>
      <c r="J37" s="12" t="s">
        <v>39</v>
      </c>
      <c r="K37" s="2"/>
      <c r="L37" s="2"/>
      <c r="M37" s="2"/>
      <c r="N37" s="2"/>
      <c r="O37" s="2"/>
    </row>
    <row r="38" spans="1:15" ht="23.4" x14ac:dyDescent="0.75">
      <c r="A38" s="12">
        <v>19</v>
      </c>
      <c r="B38" s="12" t="s">
        <v>27</v>
      </c>
      <c r="C38" s="12">
        <v>1</v>
      </c>
      <c r="D38" s="12">
        <v>1</v>
      </c>
      <c r="E38" s="12" t="s">
        <v>46</v>
      </c>
      <c r="F38" s="12">
        <v>2230</v>
      </c>
      <c r="G38" s="15">
        <f t="shared" si="2"/>
        <v>4460</v>
      </c>
      <c r="H38" s="16">
        <f t="shared" si="0"/>
        <v>1605.6</v>
      </c>
      <c r="I38" s="12">
        <f t="shared" si="1"/>
        <v>1605.6</v>
      </c>
      <c r="J38" s="12" t="s">
        <v>39</v>
      </c>
      <c r="K38" s="2"/>
      <c r="L38" s="2"/>
      <c r="M38" s="2"/>
      <c r="N38" s="2"/>
      <c r="O38" s="2"/>
    </row>
    <row r="39" spans="1:15" ht="23.4" x14ac:dyDescent="0.75">
      <c r="A39" s="12">
        <v>19</v>
      </c>
      <c r="B39" s="12" t="s">
        <v>27</v>
      </c>
      <c r="C39" s="12">
        <v>2</v>
      </c>
      <c r="D39" s="12">
        <v>2</v>
      </c>
      <c r="E39" s="12" t="s">
        <v>47</v>
      </c>
      <c r="F39" s="12">
        <v>3192</v>
      </c>
      <c r="G39" s="15">
        <f t="shared" si="2"/>
        <v>6384</v>
      </c>
      <c r="H39" s="16">
        <f t="shared" si="0"/>
        <v>4596.4799999999996</v>
      </c>
      <c r="I39" s="12">
        <f t="shared" si="1"/>
        <v>4596.4799999999996</v>
      </c>
      <c r="J39" s="12" t="s">
        <v>39</v>
      </c>
      <c r="K39" s="2"/>
      <c r="L39" s="2"/>
      <c r="M39" s="2"/>
      <c r="N39" s="2"/>
      <c r="O39" s="2"/>
    </row>
    <row r="40" spans="1:15" ht="23.4" x14ac:dyDescent="0.75">
      <c r="A40" s="12">
        <v>20</v>
      </c>
      <c r="B40" s="12" t="s">
        <v>28</v>
      </c>
      <c r="C40" s="12">
        <v>1</v>
      </c>
      <c r="D40" s="12">
        <v>1</v>
      </c>
      <c r="E40" s="12" t="s">
        <v>46</v>
      </c>
      <c r="F40" s="12">
        <v>5800</v>
      </c>
      <c r="G40" s="15">
        <f>F40*2</f>
        <v>11600</v>
      </c>
      <c r="H40" s="16">
        <f t="shared" si="0"/>
        <v>4176</v>
      </c>
      <c r="I40" s="12">
        <f t="shared" si="1"/>
        <v>4176</v>
      </c>
      <c r="J40" s="12" t="s">
        <v>39</v>
      </c>
      <c r="K40" s="2"/>
      <c r="L40" s="2"/>
      <c r="M40" s="2"/>
      <c r="N40" s="2"/>
      <c r="O40" s="2"/>
    </row>
    <row r="41" spans="1:15" ht="23.4" x14ac:dyDescent="0.75">
      <c r="A41" s="12">
        <v>20</v>
      </c>
      <c r="B41" s="12" t="s">
        <v>28</v>
      </c>
      <c r="C41" s="12">
        <v>2</v>
      </c>
      <c r="D41" s="12">
        <v>2</v>
      </c>
      <c r="E41" s="12" t="s">
        <v>47</v>
      </c>
      <c r="F41" s="12">
        <v>5600</v>
      </c>
      <c r="G41" s="15">
        <f t="shared" si="2"/>
        <v>11200</v>
      </c>
      <c r="H41" s="16">
        <f t="shared" si="0"/>
        <v>8064</v>
      </c>
      <c r="I41" s="12">
        <f t="shared" si="1"/>
        <v>8064</v>
      </c>
      <c r="J41" s="12" t="s">
        <v>39</v>
      </c>
      <c r="K41" s="2"/>
      <c r="L41" s="2"/>
      <c r="M41" s="2"/>
      <c r="N41" s="2"/>
      <c r="O41" s="2"/>
    </row>
    <row r="42" spans="1:15" ht="23.4" x14ac:dyDescent="0.75">
      <c r="A42" s="12">
        <v>21</v>
      </c>
      <c r="B42" s="12" t="s">
        <v>29</v>
      </c>
      <c r="C42" s="12">
        <v>1</v>
      </c>
      <c r="D42" s="12">
        <v>1</v>
      </c>
      <c r="E42" s="12" t="s">
        <v>46</v>
      </c>
      <c r="F42" s="12">
        <v>6000</v>
      </c>
      <c r="G42" s="15">
        <f t="shared" si="2"/>
        <v>12000</v>
      </c>
      <c r="H42" s="16">
        <f t="shared" si="0"/>
        <v>4320</v>
      </c>
      <c r="I42" s="12">
        <f t="shared" si="1"/>
        <v>4320</v>
      </c>
      <c r="J42" s="12" t="s">
        <v>39</v>
      </c>
      <c r="K42" s="2"/>
      <c r="L42" s="2"/>
      <c r="M42" s="2"/>
      <c r="N42" s="2"/>
      <c r="O42" s="2"/>
    </row>
    <row r="43" spans="1:15" ht="23.4" x14ac:dyDescent="0.75">
      <c r="A43" s="12">
        <v>21</v>
      </c>
      <c r="B43" s="12" t="s">
        <v>29</v>
      </c>
      <c r="C43" s="12">
        <v>2</v>
      </c>
      <c r="D43" s="12">
        <v>2</v>
      </c>
      <c r="E43" s="12" t="s">
        <v>48</v>
      </c>
      <c r="F43" s="12">
        <v>1200</v>
      </c>
      <c r="G43" s="15">
        <f t="shared" si="2"/>
        <v>2400</v>
      </c>
      <c r="H43" s="16">
        <f t="shared" si="0"/>
        <v>1728</v>
      </c>
      <c r="I43" s="12">
        <f t="shared" si="1"/>
        <v>1728</v>
      </c>
      <c r="J43" s="12" t="s">
        <v>39</v>
      </c>
      <c r="K43" s="2"/>
      <c r="L43" s="2"/>
      <c r="M43" s="2"/>
      <c r="N43" s="2"/>
      <c r="O43" s="2"/>
    </row>
    <row r="44" spans="1:15" ht="23.4" x14ac:dyDescent="0.75">
      <c r="A44" s="12">
        <v>22</v>
      </c>
      <c r="B44" s="12" t="s">
        <v>30</v>
      </c>
      <c r="C44" s="12">
        <v>1</v>
      </c>
      <c r="D44" s="12">
        <v>1</v>
      </c>
      <c r="E44" s="12" t="s">
        <v>46</v>
      </c>
      <c r="F44" s="12">
        <v>1300</v>
      </c>
      <c r="G44" s="15">
        <f t="shared" si="2"/>
        <v>2600</v>
      </c>
      <c r="H44" s="16">
        <f t="shared" si="0"/>
        <v>936</v>
      </c>
      <c r="I44" s="12">
        <f t="shared" si="1"/>
        <v>936</v>
      </c>
      <c r="J44" s="12" t="s">
        <v>39</v>
      </c>
      <c r="K44" s="2"/>
      <c r="L44" s="2"/>
      <c r="M44" s="2"/>
      <c r="N44" s="2"/>
      <c r="O44" s="2"/>
    </row>
    <row r="45" spans="1:15" ht="23.4" x14ac:dyDescent="0.75">
      <c r="A45" s="12">
        <v>22</v>
      </c>
      <c r="B45" s="12" t="s">
        <v>30</v>
      </c>
      <c r="C45" s="12">
        <v>2</v>
      </c>
      <c r="D45" s="12">
        <v>2</v>
      </c>
      <c r="E45" s="12" t="s">
        <v>47</v>
      </c>
      <c r="F45" s="12">
        <v>1780</v>
      </c>
      <c r="G45" s="15">
        <f t="shared" si="2"/>
        <v>3560</v>
      </c>
      <c r="H45" s="16">
        <f t="shared" si="0"/>
        <v>2563.1999999999998</v>
      </c>
      <c r="I45" s="12">
        <f t="shared" si="1"/>
        <v>2563.1999999999998</v>
      </c>
      <c r="J45" s="12" t="s">
        <v>39</v>
      </c>
      <c r="K45" s="2"/>
      <c r="L45" s="2"/>
      <c r="M45" s="2"/>
      <c r="N45" s="2"/>
      <c r="O45" s="2"/>
    </row>
    <row r="46" spans="1:15" ht="23.4" x14ac:dyDescent="0.75">
      <c r="A46" s="12">
        <v>23</v>
      </c>
      <c r="B46" s="12" t="s">
        <v>31</v>
      </c>
      <c r="C46" s="12">
        <v>1</v>
      </c>
      <c r="D46" s="12">
        <v>1</v>
      </c>
      <c r="E46" s="12" t="s">
        <v>46</v>
      </c>
      <c r="F46" s="12">
        <v>1740</v>
      </c>
      <c r="G46" s="15">
        <f t="shared" si="2"/>
        <v>3480</v>
      </c>
      <c r="H46" s="16">
        <f t="shared" si="0"/>
        <v>1252.8</v>
      </c>
      <c r="I46" s="12">
        <f t="shared" si="1"/>
        <v>1252.8</v>
      </c>
      <c r="J46" s="12" t="s">
        <v>39</v>
      </c>
      <c r="K46" s="2"/>
      <c r="L46" s="2"/>
      <c r="M46" s="2"/>
      <c r="N46" s="2"/>
      <c r="O46" s="2"/>
    </row>
    <row r="47" spans="1:15" ht="23.4" x14ac:dyDescent="0.75">
      <c r="A47" s="12">
        <v>23</v>
      </c>
      <c r="B47" s="12" t="s">
        <v>31</v>
      </c>
      <c r="C47" s="12">
        <v>2</v>
      </c>
      <c r="D47" s="12">
        <v>2</v>
      </c>
      <c r="E47" s="12" t="s">
        <v>47</v>
      </c>
      <c r="F47" s="12">
        <v>1520</v>
      </c>
      <c r="G47" s="15">
        <f t="shared" si="2"/>
        <v>3040</v>
      </c>
      <c r="H47" s="16">
        <f t="shared" si="0"/>
        <v>2188.7999999999997</v>
      </c>
      <c r="I47" s="12">
        <f t="shared" si="1"/>
        <v>2188.7999999999997</v>
      </c>
      <c r="J47" s="12" t="s">
        <v>39</v>
      </c>
      <c r="K47" s="2"/>
      <c r="L47" s="2"/>
      <c r="M47" s="2"/>
      <c r="N47" s="2"/>
      <c r="O47" s="2"/>
    </row>
    <row r="48" spans="1:15" ht="23.4" x14ac:dyDescent="0.75">
      <c r="A48" s="12">
        <v>24</v>
      </c>
      <c r="B48" s="12" t="s">
        <v>32</v>
      </c>
      <c r="C48" s="12">
        <v>1</v>
      </c>
      <c r="D48" s="12">
        <v>1</v>
      </c>
      <c r="E48" s="12" t="s">
        <v>46</v>
      </c>
      <c r="F48" s="12">
        <v>2005</v>
      </c>
      <c r="G48" s="15">
        <f t="shared" si="2"/>
        <v>4010</v>
      </c>
      <c r="H48" s="16">
        <f t="shared" si="0"/>
        <v>1443.6</v>
      </c>
      <c r="I48" s="12">
        <f t="shared" si="1"/>
        <v>1443.6</v>
      </c>
      <c r="J48" s="12" t="s">
        <v>39</v>
      </c>
      <c r="K48" s="2"/>
      <c r="L48" s="2"/>
      <c r="M48" s="2"/>
      <c r="N48" s="2"/>
      <c r="O48" s="2"/>
    </row>
    <row r="49" spans="1:15" ht="23.4" x14ac:dyDescent="0.75">
      <c r="A49" s="12">
        <v>24</v>
      </c>
      <c r="B49" s="12" t="s">
        <v>32</v>
      </c>
      <c r="C49" s="12">
        <v>2</v>
      </c>
      <c r="D49" s="12">
        <v>2</v>
      </c>
      <c r="E49" s="12" t="s">
        <v>47</v>
      </c>
      <c r="F49" s="12">
        <v>2400</v>
      </c>
      <c r="G49" s="15">
        <f t="shared" si="2"/>
        <v>4800</v>
      </c>
      <c r="H49" s="16">
        <f t="shared" si="0"/>
        <v>3456</v>
      </c>
      <c r="I49" s="12">
        <f t="shared" si="1"/>
        <v>3456</v>
      </c>
      <c r="J49" s="12" t="s">
        <v>39</v>
      </c>
      <c r="K49" s="2"/>
      <c r="L49" s="2"/>
      <c r="M49" s="2"/>
      <c r="N49" s="2"/>
      <c r="O49" s="2"/>
    </row>
    <row r="50" spans="1:15" ht="23.4" x14ac:dyDescent="0.75">
      <c r="A50" s="12">
        <v>25</v>
      </c>
      <c r="B50" s="12" t="s">
        <v>33</v>
      </c>
      <c r="C50" s="12">
        <v>1</v>
      </c>
      <c r="D50" s="12">
        <v>1</v>
      </c>
      <c r="E50" s="12" t="s">
        <v>46</v>
      </c>
      <c r="F50" s="12">
        <v>2500</v>
      </c>
      <c r="G50" s="15">
        <f t="shared" si="2"/>
        <v>5000</v>
      </c>
      <c r="H50" s="16">
        <f t="shared" si="0"/>
        <v>1800</v>
      </c>
      <c r="I50" s="12">
        <f t="shared" si="1"/>
        <v>1800</v>
      </c>
      <c r="J50" s="12" t="s">
        <v>39</v>
      </c>
      <c r="K50" s="2"/>
      <c r="L50" s="2"/>
      <c r="M50" s="2"/>
      <c r="N50" s="2"/>
      <c r="O50" s="2"/>
    </row>
    <row r="51" spans="1:15" ht="23.4" x14ac:dyDescent="0.75">
      <c r="A51" s="12">
        <v>25</v>
      </c>
      <c r="B51" s="12" t="s">
        <v>33</v>
      </c>
      <c r="C51" s="12">
        <v>2</v>
      </c>
      <c r="D51" s="12">
        <v>2</v>
      </c>
      <c r="E51" s="12" t="s">
        <v>47</v>
      </c>
      <c r="F51" s="12">
        <v>3100</v>
      </c>
      <c r="G51" s="15">
        <f t="shared" si="2"/>
        <v>6200</v>
      </c>
      <c r="H51" s="16">
        <f t="shared" si="0"/>
        <v>4464</v>
      </c>
      <c r="I51" s="12">
        <f t="shared" si="1"/>
        <v>4464</v>
      </c>
      <c r="J51" s="12" t="s">
        <v>39</v>
      </c>
      <c r="K51" s="2"/>
      <c r="L51" s="2"/>
      <c r="M51" s="2"/>
      <c r="N51" s="2"/>
      <c r="O51" s="2"/>
    </row>
    <row r="52" spans="1:15" ht="23.4" x14ac:dyDescent="0.75">
      <c r="A52" s="12">
        <v>26</v>
      </c>
      <c r="B52" s="12" t="s">
        <v>34</v>
      </c>
      <c r="C52" s="12">
        <v>1</v>
      </c>
      <c r="D52" s="12">
        <v>1</v>
      </c>
      <c r="E52" s="12" t="s">
        <v>46</v>
      </c>
      <c r="F52" s="12">
        <v>3300</v>
      </c>
      <c r="G52" s="15">
        <f t="shared" si="2"/>
        <v>6600</v>
      </c>
      <c r="H52" s="16">
        <f t="shared" si="0"/>
        <v>2376</v>
      </c>
      <c r="I52" s="12">
        <f t="shared" si="1"/>
        <v>2376</v>
      </c>
      <c r="J52" s="12" t="s">
        <v>39</v>
      </c>
      <c r="K52" s="2"/>
      <c r="L52" s="2"/>
      <c r="M52" s="2"/>
      <c r="N52" s="2"/>
      <c r="O52" s="2"/>
    </row>
    <row r="53" spans="1:15" ht="23.4" x14ac:dyDescent="0.75">
      <c r="A53" s="12">
        <v>26</v>
      </c>
      <c r="B53" s="12" t="s">
        <v>34</v>
      </c>
      <c r="C53" s="12">
        <v>2</v>
      </c>
      <c r="D53" s="12">
        <v>2</v>
      </c>
      <c r="E53" s="12" t="s">
        <v>47</v>
      </c>
      <c r="F53" s="12">
        <v>3500</v>
      </c>
      <c r="G53" s="15">
        <f t="shared" si="2"/>
        <v>7000</v>
      </c>
      <c r="H53" s="16">
        <f t="shared" si="0"/>
        <v>5040</v>
      </c>
      <c r="I53" s="12">
        <f t="shared" si="1"/>
        <v>5040</v>
      </c>
      <c r="J53" s="12" t="s">
        <v>39</v>
      </c>
      <c r="K53" s="2"/>
      <c r="L53" s="2"/>
      <c r="M53" s="2"/>
      <c r="N53" s="2"/>
      <c r="O53" s="2"/>
    </row>
    <row r="54" spans="1:15" ht="23.4" x14ac:dyDescent="0.75">
      <c r="A54" s="12">
        <v>27</v>
      </c>
      <c r="B54" s="12" t="s">
        <v>35</v>
      </c>
      <c r="C54" s="12">
        <v>1</v>
      </c>
      <c r="D54" s="12">
        <v>1</v>
      </c>
      <c r="E54" s="12" t="s">
        <v>46</v>
      </c>
      <c r="F54" s="12">
        <v>3600</v>
      </c>
      <c r="G54" s="15">
        <f t="shared" si="2"/>
        <v>7200</v>
      </c>
      <c r="H54" s="16">
        <f t="shared" si="0"/>
        <v>2592</v>
      </c>
      <c r="I54" s="12">
        <f t="shared" si="1"/>
        <v>2592</v>
      </c>
      <c r="J54" s="12" t="s">
        <v>39</v>
      </c>
    </row>
    <row r="55" spans="1:15" ht="23.4" x14ac:dyDescent="0.75">
      <c r="A55" s="12">
        <v>27</v>
      </c>
      <c r="B55" s="12" t="s">
        <v>35</v>
      </c>
      <c r="C55" s="12">
        <v>2</v>
      </c>
      <c r="D55" s="12">
        <v>2</v>
      </c>
      <c r="E55" s="12" t="s">
        <v>47</v>
      </c>
      <c r="F55" s="12">
        <v>4000</v>
      </c>
      <c r="G55" s="15">
        <f t="shared" si="2"/>
        <v>8000</v>
      </c>
      <c r="H55" s="16">
        <f t="shared" si="0"/>
        <v>5760</v>
      </c>
      <c r="I55" s="12">
        <f t="shared" si="1"/>
        <v>5760</v>
      </c>
      <c r="J55" s="12" t="s">
        <v>39</v>
      </c>
    </row>
    <row r="56" spans="1:15" ht="23.4" x14ac:dyDescent="0.75">
      <c r="A56" s="12">
        <v>28</v>
      </c>
      <c r="B56" s="12" t="s">
        <v>36</v>
      </c>
      <c r="C56" s="12">
        <v>1</v>
      </c>
      <c r="D56" s="12">
        <v>1</v>
      </c>
      <c r="E56" s="12" t="s">
        <v>46</v>
      </c>
      <c r="F56" s="12">
        <v>4220</v>
      </c>
      <c r="G56" s="15">
        <f t="shared" si="2"/>
        <v>8440</v>
      </c>
      <c r="H56" s="16">
        <f t="shared" si="0"/>
        <v>3038.4</v>
      </c>
      <c r="I56" s="12">
        <f t="shared" si="1"/>
        <v>3038.4</v>
      </c>
      <c r="J56" s="12" t="s">
        <v>39</v>
      </c>
    </row>
    <row r="57" spans="1:15" ht="23.4" x14ac:dyDescent="0.75">
      <c r="A57" s="12">
        <v>28</v>
      </c>
      <c r="B57" s="12" t="s">
        <v>36</v>
      </c>
      <c r="C57" s="12">
        <v>2</v>
      </c>
      <c r="D57" s="12">
        <v>2</v>
      </c>
      <c r="E57" s="12" t="s">
        <v>47</v>
      </c>
      <c r="F57" s="12">
        <v>1100</v>
      </c>
      <c r="G57" s="15">
        <f t="shared" si="2"/>
        <v>2200</v>
      </c>
      <c r="H57" s="16">
        <f t="shared" si="0"/>
        <v>1584</v>
      </c>
      <c r="I57" s="12">
        <f t="shared" si="1"/>
        <v>1584</v>
      </c>
      <c r="J57" s="12" t="s">
        <v>39</v>
      </c>
    </row>
    <row r="58" spans="1:15" ht="23.4" x14ac:dyDescent="0.75">
      <c r="A58" s="12">
        <v>29</v>
      </c>
      <c r="B58" s="12" t="s">
        <v>37</v>
      </c>
      <c r="C58" s="12">
        <v>1</v>
      </c>
      <c r="D58" s="12">
        <v>1</v>
      </c>
      <c r="E58" s="12" t="s">
        <v>46</v>
      </c>
      <c r="F58" s="12">
        <v>1120</v>
      </c>
      <c r="G58" s="15">
        <f t="shared" si="2"/>
        <v>2240</v>
      </c>
      <c r="H58" s="16">
        <f t="shared" si="0"/>
        <v>806.4</v>
      </c>
      <c r="I58" s="12">
        <f t="shared" si="1"/>
        <v>806.4</v>
      </c>
      <c r="J58" s="12" t="s">
        <v>39</v>
      </c>
    </row>
    <row r="59" spans="1:15" ht="23.4" x14ac:dyDescent="0.75">
      <c r="A59" s="12">
        <v>29</v>
      </c>
      <c r="B59" s="12" t="s">
        <v>37</v>
      </c>
      <c r="C59" s="12">
        <v>2</v>
      </c>
      <c r="D59" s="12">
        <v>2</v>
      </c>
      <c r="E59" s="12" t="s">
        <v>47</v>
      </c>
      <c r="F59" s="12">
        <v>1180</v>
      </c>
      <c r="G59" s="15">
        <f t="shared" si="2"/>
        <v>2360</v>
      </c>
      <c r="H59" s="16">
        <f t="shared" si="0"/>
        <v>1699.2</v>
      </c>
      <c r="I59" s="12">
        <f t="shared" si="1"/>
        <v>1699.2</v>
      </c>
      <c r="J59" s="12" t="s">
        <v>39</v>
      </c>
    </row>
    <row r="60" spans="1:15" ht="23.4" x14ac:dyDescent="0.75">
      <c r="A60" s="12">
        <v>30</v>
      </c>
      <c r="B60" s="12" t="s">
        <v>38</v>
      </c>
      <c r="C60" s="12">
        <v>1</v>
      </c>
      <c r="D60" s="12">
        <v>1</v>
      </c>
      <c r="E60" s="12" t="s">
        <v>46</v>
      </c>
      <c r="F60" s="12">
        <v>1600</v>
      </c>
      <c r="G60" s="15">
        <f t="shared" si="2"/>
        <v>3200</v>
      </c>
      <c r="H60" s="16">
        <f t="shared" si="0"/>
        <v>1152</v>
      </c>
      <c r="I60" s="12">
        <f t="shared" si="1"/>
        <v>1152</v>
      </c>
      <c r="J60" s="12" t="s">
        <v>39</v>
      </c>
    </row>
    <row r="61" spans="1:15" ht="23.4" x14ac:dyDescent="0.75">
      <c r="A61" s="12">
        <v>30</v>
      </c>
      <c r="B61" s="12" t="s">
        <v>38</v>
      </c>
      <c r="C61" s="12">
        <v>2</v>
      </c>
      <c r="D61" s="12">
        <v>2</v>
      </c>
      <c r="E61" s="12" t="s">
        <v>47</v>
      </c>
      <c r="F61" s="12">
        <v>2260</v>
      </c>
      <c r="G61" s="15">
        <f t="shared" si="2"/>
        <v>4520</v>
      </c>
      <c r="H61" s="16">
        <f t="shared" si="0"/>
        <v>3254.4</v>
      </c>
      <c r="I61" s="12">
        <f t="shared" si="1"/>
        <v>3254.4</v>
      </c>
      <c r="J61" s="12" t="s">
        <v>39</v>
      </c>
    </row>
    <row r="62" spans="1:15" ht="21.6" x14ac:dyDescent="0.65">
      <c r="A62" s="2"/>
      <c r="B62" s="5"/>
      <c r="C62" s="2"/>
      <c r="D62" s="2"/>
      <c r="E62" s="2"/>
      <c r="F62" s="2"/>
      <c r="G62" s="2"/>
      <c r="H62" s="9"/>
    </row>
    <row r="63" spans="1:15" ht="21.6" x14ac:dyDescent="0.65">
      <c r="A63" s="2"/>
      <c r="B63" s="5"/>
      <c r="C63" s="2"/>
      <c r="D63" s="2"/>
      <c r="E63" s="2"/>
      <c r="F63" s="2"/>
      <c r="G63" s="2"/>
      <c r="H63" s="2"/>
    </row>
    <row r="64" spans="1:15" ht="21.6" x14ac:dyDescent="0.65">
      <c r="A64" s="2"/>
      <c r="B64" s="5"/>
      <c r="C64" s="2"/>
      <c r="D64" s="2"/>
      <c r="E64" s="2"/>
      <c r="F64" s="2"/>
      <c r="G64" s="2"/>
      <c r="H64" s="2"/>
    </row>
    <row r="65" spans="2:2" ht="21.6" x14ac:dyDescent="0.65">
      <c r="B65" s="5"/>
    </row>
  </sheetData>
  <sortState xmlns:xlrd2="http://schemas.microsoft.com/office/spreadsheetml/2017/richdata2" ref="I6:I13">
    <sortCondition descending="1" ref="I6:I13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992B-5985-44BD-BA52-CDD62428C464}">
  <sheetPr>
    <tabColor theme="9" tint="-0.249977111117893"/>
  </sheetPr>
  <dimension ref="A1:U62"/>
  <sheetViews>
    <sheetView rightToLeft="1" topLeftCell="C1" zoomScaleNormal="100" workbookViewId="0">
      <selection activeCell="G5" sqref="G5"/>
    </sheetView>
  </sheetViews>
  <sheetFormatPr defaultRowHeight="13.8" x14ac:dyDescent="0.25"/>
  <cols>
    <col min="1" max="1" width="7.09765625" style="10" customWidth="1"/>
    <col min="2" max="2" width="11.8984375" style="10" customWidth="1"/>
    <col min="3" max="3" width="8.796875" style="10"/>
    <col min="4" max="4" width="7.19921875" style="10" customWidth="1"/>
    <col min="5" max="6" width="16.8984375" style="10" customWidth="1"/>
    <col min="7" max="7" width="19.296875" style="10" customWidth="1"/>
    <col min="8" max="16384" width="8.796875" style="10"/>
  </cols>
  <sheetData>
    <row r="1" spans="1:21" ht="21" customHeight="1" x14ac:dyDescent="0.75">
      <c r="A1" s="7" t="s">
        <v>40</v>
      </c>
      <c r="B1" s="7" t="s">
        <v>2</v>
      </c>
      <c r="C1" s="7" t="s">
        <v>41</v>
      </c>
      <c r="D1" s="7" t="s">
        <v>44</v>
      </c>
      <c r="E1" s="7" t="s">
        <v>113</v>
      </c>
      <c r="F1" s="7" t="s">
        <v>42</v>
      </c>
      <c r="G1" s="7" t="s">
        <v>43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3.4" x14ac:dyDescent="0.75">
      <c r="A2" s="5">
        <v>1</v>
      </c>
      <c r="B2" s="5" t="s">
        <v>5</v>
      </c>
      <c r="C2" s="12">
        <v>1</v>
      </c>
      <c r="D2" s="12" t="s">
        <v>46</v>
      </c>
      <c r="E2" s="12" t="s">
        <v>49</v>
      </c>
      <c r="F2" s="12">
        <v>14900</v>
      </c>
      <c r="G2" s="13">
        <f>IF(D2="60*60",0.36*F2,0.72*F2)</f>
        <v>5364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3.4" x14ac:dyDescent="0.75">
      <c r="A3" s="5">
        <v>1</v>
      </c>
      <c r="B3" s="5" t="s">
        <v>5</v>
      </c>
      <c r="C3" s="12">
        <v>2</v>
      </c>
      <c r="D3" s="12" t="s">
        <v>47</v>
      </c>
      <c r="E3" s="12" t="s">
        <v>50</v>
      </c>
      <c r="F3" s="12">
        <v>5900</v>
      </c>
      <c r="G3" s="13">
        <f t="shared" ref="G3:G61" si="0">IF(D3="60*60",0.36*F3,0.72*F3)</f>
        <v>4248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3.4" x14ac:dyDescent="0.75">
      <c r="A4" s="5">
        <v>2</v>
      </c>
      <c r="B4" s="5" t="s">
        <v>6</v>
      </c>
      <c r="C4" s="12">
        <v>1</v>
      </c>
      <c r="D4" s="12" t="s">
        <v>46</v>
      </c>
      <c r="E4" s="12" t="s">
        <v>51</v>
      </c>
      <c r="F4" s="12">
        <v>7990</v>
      </c>
      <c r="G4" s="13">
        <f t="shared" si="0"/>
        <v>2876.4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3.4" x14ac:dyDescent="0.75">
      <c r="A5" s="5">
        <v>2</v>
      </c>
      <c r="B5" s="5" t="s">
        <v>6</v>
      </c>
      <c r="C5" s="12">
        <v>2</v>
      </c>
      <c r="D5" s="12" t="s">
        <v>47</v>
      </c>
      <c r="E5" s="12" t="s">
        <v>52</v>
      </c>
      <c r="F5" s="12">
        <v>3990</v>
      </c>
      <c r="G5" s="13">
        <f t="shared" si="0"/>
        <v>2872.7999999999997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3.4" x14ac:dyDescent="0.75">
      <c r="A6" s="5">
        <v>3</v>
      </c>
      <c r="B6" s="5" t="s">
        <v>11</v>
      </c>
      <c r="C6" s="12">
        <v>1</v>
      </c>
      <c r="D6" s="12" t="s">
        <v>46</v>
      </c>
      <c r="E6" s="12" t="s">
        <v>51</v>
      </c>
      <c r="F6" s="12">
        <v>2994</v>
      </c>
      <c r="G6" s="13">
        <f t="shared" si="0"/>
        <v>1077.8399999999999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3.4" x14ac:dyDescent="0.75">
      <c r="A7" s="5">
        <v>3</v>
      </c>
      <c r="B7" s="5" t="s">
        <v>11</v>
      </c>
      <c r="C7" s="12">
        <v>2</v>
      </c>
      <c r="D7" s="12" t="s">
        <v>47</v>
      </c>
      <c r="E7" s="12" t="s">
        <v>49</v>
      </c>
      <c r="F7" s="12">
        <v>11885</v>
      </c>
      <c r="G7" s="13">
        <f t="shared" si="0"/>
        <v>8557.1999999999989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3.4" x14ac:dyDescent="0.75">
      <c r="A8" s="5">
        <v>4</v>
      </c>
      <c r="B8" s="5" t="s">
        <v>12</v>
      </c>
      <c r="C8" s="12">
        <v>1</v>
      </c>
      <c r="D8" s="12" t="s">
        <v>46</v>
      </c>
      <c r="E8" s="12" t="s">
        <v>53</v>
      </c>
      <c r="F8" s="12">
        <v>3600</v>
      </c>
      <c r="G8" s="13">
        <f t="shared" si="0"/>
        <v>1296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3.4" x14ac:dyDescent="0.75">
      <c r="A9" s="5">
        <v>4</v>
      </c>
      <c r="B9" s="5" t="s">
        <v>12</v>
      </c>
      <c r="C9" s="12">
        <v>2</v>
      </c>
      <c r="D9" s="12" t="s">
        <v>47</v>
      </c>
      <c r="E9" s="12" t="s">
        <v>54</v>
      </c>
      <c r="F9" s="12">
        <v>6500</v>
      </c>
      <c r="G9" s="13">
        <f t="shared" si="0"/>
        <v>4680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3.4" x14ac:dyDescent="0.75">
      <c r="A10" s="5">
        <v>5</v>
      </c>
      <c r="B10" s="5" t="s">
        <v>13</v>
      </c>
      <c r="C10" s="12">
        <v>1</v>
      </c>
      <c r="D10" s="12" t="s">
        <v>46</v>
      </c>
      <c r="E10" s="12" t="s">
        <v>49</v>
      </c>
      <c r="F10" s="12">
        <v>10584</v>
      </c>
      <c r="G10" s="13">
        <f t="shared" si="0"/>
        <v>3810.24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3.4" x14ac:dyDescent="0.75">
      <c r="A11" s="5">
        <v>5</v>
      </c>
      <c r="B11" s="5" t="s">
        <v>45</v>
      </c>
      <c r="C11" s="12">
        <v>2</v>
      </c>
      <c r="D11" s="12" t="s">
        <v>47</v>
      </c>
      <c r="E11" s="12" t="s">
        <v>50</v>
      </c>
      <c r="F11" s="12">
        <v>4224</v>
      </c>
      <c r="G11" s="13">
        <f t="shared" si="0"/>
        <v>3041.2799999999997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21" ht="23.4" x14ac:dyDescent="0.75">
      <c r="A12" s="5">
        <v>6</v>
      </c>
      <c r="B12" s="5" t="s">
        <v>20</v>
      </c>
      <c r="C12" s="12">
        <v>1</v>
      </c>
      <c r="D12" s="12" t="s">
        <v>46</v>
      </c>
      <c r="E12" s="12" t="s">
        <v>52</v>
      </c>
      <c r="F12" s="12">
        <v>1960</v>
      </c>
      <c r="G12" s="13">
        <f t="shared" si="0"/>
        <v>705.6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3.4" x14ac:dyDescent="0.75">
      <c r="A13" s="5">
        <v>6</v>
      </c>
      <c r="B13" s="5" t="s">
        <v>20</v>
      </c>
      <c r="C13" s="12">
        <v>2</v>
      </c>
      <c r="D13" s="12" t="s">
        <v>47</v>
      </c>
      <c r="E13" s="12" t="s">
        <v>55</v>
      </c>
      <c r="F13" s="12">
        <v>6336</v>
      </c>
      <c r="G13" s="13">
        <f t="shared" si="0"/>
        <v>4561.92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23.4" x14ac:dyDescent="0.75">
      <c r="A14" s="5">
        <v>7</v>
      </c>
      <c r="B14" s="5" t="s">
        <v>21</v>
      </c>
      <c r="C14" s="12">
        <v>1</v>
      </c>
      <c r="D14" s="12" t="s">
        <v>46</v>
      </c>
      <c r="E14" s="12" t="s">
        <v>51</v>
      </c>
      <c r="F14" s="12">
        <v>4608</v>
      </c>
      <c r="G14" s="13">
        <f t="shared" si="0"/>
        <v>1658.8799999999999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23.4" x14ac:dyDescent="0.75">
      <c r="A15" s="5">
        <v>7</v>
      </c>
      <c r="B15" s="5" t="s">
        <v>21</v>
      </c>
      <c r="C15" s="12">
        <v>2</v>
      </c>
      <c r="D15" s="12" t="s">
        <v>47</v>
      </c>
      <c r="E15" s="12" t="s">
        <v>55</v>
      </c>
      <c r="F15" s="12">
        <v>8448</v>
      </c>
      <c r="G15" s="13">
        <f t="shared" si="0"/>
        <v>6082.5599999999995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23.4" x14ac:dyDescent="0.75">
      <c r="A16" s="5">
        <v>8</v>
      </c>
      <c r="B16" s="5" t="s">
        <v>22</v>
      </c>
      <c r="C16" s="12">
        <v>1</v>
      </c>
      <c r="D16" s="12" t="s">
        <v>46</v>
      </c>
      <c r="E16" s="12" t="s">
        <v>54</v>
      </c>
      <c r="F16" s="12">
        <v>6637</v>
      </c>
      <c r="G16" s="13">
        <f t="shared" si="0"/>
        <v>2389.3199999999997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3.4" x14ac:dyDescent="0.75">
      <c r="A17" s="5">
        <v>8</v>
      </c>
      <c r="B17" s="5" t="s">
        <v>22</v>
      </c>
      <c r="C17" s="12">
        <v>2</v>
      </c>
      <c r="D17" s="12" t="s">
        <v>47</v>
      </c>
      <c r="E17" s="12" t="s">
        <v>52</v>
      </c>
      <c r="F17" s="12">
        <v>2196</v>
      </c>
      <c r="G17" s="13">
        <f t="shared" si="0"/>
        <v>1581.12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3.4" x14ac:dyDescent="0.75">
      <c r="A18" s="5">
        <v>9</v>
      </c>
      <c r="B18" s="5" t="s">
        <v>23</v>
      </c>
      <c r="C18" s="12">
        <v>1</v>
      </c>
      <c r="D18" s="12" t="s">
        <v>46</v>
      </c>
      <c r="E18" s="12" t="s">
        <v>55</v>
      </c>
      <c r="F18" s="12">
        <v>4302</v>
      </c>
      <c r="G18" s="13">
        <f t="shared" si="0"/>
        <v>1548.72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3.4" x14ac:dyDescent="0.75">
      <c r="A19" s="5">
        <v>9</v>
      </c>
      <c r="B19" s="5" t="s">
        <v>23</v>
      </c>
      <c r="C19" s="12">
        <v>2</v>
      </c>
      <c r="D19" s="12" t="s">
        <v>47</v>
      </c>
      <c r="E19" s="12" t="s">
        <v>51</v>
      </c>
      <c r="F19" s="12">
        <v>8832</v>
      </c>
      <c r="G19" s="13">
        <f t="shared" si="0"/>
        <v>6359.04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3.4" x14ac:dyDescent="0.75">
      <c r="A20" s="5">
        <v>10</v>
      </c>
      <c r="B20" s="5" t="s">
        <v>14</v>
      </c>
      <c r="C20" s="12">
        <v>1</v>
      </c>
      <c r="D20" s="12" t="s">
        <v>46</v>
      </c>
      <c r="E20" s="12" t="s">
        <v>55</v>
      </c>
      <c r="F20" s="12">
        <v>4850</v>
      </c>
      <c r="G20" s="13">
        <f t="shared" si="0"/>
        <v>1746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3.4" x14ac:dyDescent="0.75">
      <c r="A21" s="5">
        <v>10</v>
      </c>
      <c r="B21" s="5" t="s">
        <v>14</v>
      </c>
      <c r="C21" s="12">
        <v>2</v>
      </c>
      <c r="D21" s="12" t="s">
        <v>47</v>
      </c>
      <c r="E21" s="12" t="s">
        <v>54</v>
      </c>
      <c r="F21" s="12">
        <v>2716</v>
      </c>
      <c r="G21" s="13">
        <f t="shared" si="0"/>
        <v>1955.52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3.4" x14ac:dyDescent="0.75">
      <c r="A22" s="5">
        <v>11</v>
      </c>
      <c r="B22" s="5" t="s">
        <v>15</v>
      </c>
      <c r="C22" s="12">
        <v>1</v>
      </c>
      <c r="D22" s="12" t="s">
        <v>46</v>
      </c>
      <c r="E22" s="12" t="s">
        <v>52</v>
      </c>
      <c r="F22" s="12">
        <v>2386</v>
      </c>
      <c r="G22" s="13">
        <f t="shared" si="0"/>
        <v>858.95999999999992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3.4" x14ac:dyDescent="0.75">
      <c r="A23" s="5">
        <v>11</v>
      </c>
      <c r="B23" s="5" t="s">
        <v>15</v>
      </c>
      <c r="C23" s="12">
        <v>2</v>
      </c>
      <c r="D23" s="12" t="s">
        <v>47</v>
      </c>
      <c r="E23" s="12" t="s">
        <v>50</v>
      </c>
      <c r="F23" s="12">
        <v>2716</v>
      </c>
      <c r="G23" s="13">
        <f t="shared" si="0"/>
        <v>1955.52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3.4" x14ac:dyDescent="0.75">
      <c r="A24" s="5">
        <v>12</v>
      </c>
      <c r="B24" s="5" t="s">
        <v>16</v>
      </c>
      <c r="C24" s="12">
        <v>1</v>
      </c>
      <c r="D24" s="12" t="s">
        <v>46</v>
      </c>
      <c r="E24" s="12" t="s">
        <v>56</v>
      </c>
      <c r="F24" s="12">
        <v>2366</v>
      </c>
      <c r="G24" s="13">
        <f t="shared" si="0"/>
        <v>851.76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3.4" x14ac:dyDescent="0.75">
      <c r="A25" s="5">
        <v>12</v>
      </c>
      <c r="B25" s="5" t="s">
        <v>16</v>
      </c>
      <c r="C25" s="12">
        <v>2</v>
      </c>
      <c r="D25" s="12" t="s">
        <v>47</v>
      </c>
      <c r="E25" s="12" t="s">
        <v>57</v>
      </c>
      <c r="F25" s="12">
        <v>3880</v>
      </c>
      <c r="G25" s="13">
        <f t="shared" si="0"/>
        <v>2793.6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3.4" x14ac:dyDescent="0.75">
      <c r="A26" s="5">
        <v>13</v>
      </c>
      <c r="B26" s="5" t="s">
        <v>17</v>
      </c>
      <c r="C26" s="12">
        <v>1</v>
      </c>
      <c r="D26" s="12" t="s">
        <v>46</v>
      </c>
      <c r="E26" s="12" t="s">
        <v>58</v>
      </c>
      <c r="F26" s="12">
        <v>5880</v>
      </c>
      <c r="G26" s="13">
        <f t="shared" si="0"/>
        <v>2116.7999999999997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3.4" x14ac:dyDescent="0.75">
      <c r="A27" s="5">
        <v>13</v>
      </c>
      <c r="B27" s="5" t="s">
        <v>17</v>
      </c>
      <c r="C27" s="12">
        <v>2</v>
      </c>
      <c r="D27" s="12" t="s">
        <v>47</v>
      </c>
      <c r="E27" s="12" t="s">
        <v>59</v>
      </c>
      <c r="F27" s="12">
        <v>4116</v>
      </c>
      <c r="G27" s="13">
        <f t="shared" si="0"/>
        <v>2963.52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3.4" x14ac:dyDescent="0.75">
      <c r="A28" s="5">
        <v>14</v>
      </c>
      <c r="B28" s="5" t="s">
        <v>18</v>
      </c>
      <c r="C28" s="12">
        <v>1</v>
      </c>
      <c r="D28" s="12" t="s">
        <v>46</v>
      </c>
      <c r="E28" s="12" t="s">
        <v>60</v>
      </c>
      <c r="F28" s="12">
        <v>6076</v>
      </c>
      <c r="G28" s="13">
        <f t="shared" si="0"/>
        <v>2187.36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3.4" x14ac:dyDescent="0.75">
      <c r="A29" s="5">
        <v>14</v>
      </c>
      <c r="B29" s="5" t="s">
        <v>18</v>
      </c>
      <c r="C29" s="12">
        <v>2</v>
      </c>
      <c r="D29" s="12" t="s">
        <v>47</v>
      </c>
      <c r="E29" s="12" t="s">
        <v>51</v>
      </c>
      <c r="F29" s="12">
        <v>4400</v>
      </c>
      <c r="G29" s="13">
        <f t="shared" si="0"/>
        <v>3168</v>
      </c>
    </row>
    <row r="30" spans="1:21" ht="23.4" x14ac:dyDescent="0.75">
      <c r="A30" s="5">
        <v>15</v>
      </c>
      <c r="B30" s="5" t="s">
        <v>19</v>
      </c>
      <c r="C30" s="12">
        <v>1</v>
      </c>
      <c r="D30" s="12" t="s">
        <v>46</v>
      </c>
      <c r="E30" s="12" t="s">
        <v>55</v>
      </c>
      <c r="F30" s="12">
        <v>4402</v>
      </c>
      <c r="G30" s="13">
        <f t="shared" si="0"/>
        <v>1584.72</v>
      </c>
      <c r="H30" s="5"/>
      <c r="I30" s="5"/>
      <c r="J30" s="5"/>
      <c r="K30" s="5"/>
      <c r="L30" s="5"/>
      <c r="M30" s="5"/>
    </row>
    <row r="31" spans="1:21" ht="23.4" x14ac:dyDescent="0.75">
      <c r="A31" s="5">
        <v>15</v>
      </c>
      <c r="B31" s="5" t="s">
        <v>19</v>
      </c>
      <c r="C31" s="12">
        <v>2</v>
      </c>
      <c r="D31" s="12" t="s">
        <v>47</v>
      </c>
      <c r="E31" s="12" t="s">
        <v>58</v>
      </c>
      <c r="F31" s="12">
        <v>4214</v>
      </c>
      <c r="G31" s="13">
        <f t="shared" si="0"/>
        <v>3034.08</v>
      </c>
      <c r="H31" s="5"/>
      <c r="I31" s="5"/>
      <c r="J31" s="5"/>
      <c r="K31" s="5"/>
      <c r="L31" s="5"/>
      <c r="M31" s="5"/>
    </row>
    <row r="32" spans="1:21" ht="23.4" x14ac:dyDescent="0.75">
      <c r="A32" s="5">
        <v>16</v>
      </c>
      <c r="B32" s="5" t="s">
        <v>24</v>
      </c>
      <c r="C32" s="12">
        <v>1</v>
      </c>
      <c r="D32" s="12" t="s">
        <v>46</v>
      </c>
      <c r="E32" s="12" t="s">
        <v>52</v>
      </c>
      <c r="F32" s="12">
        <v>4508</v>
      </c>
      <c r="G32" s="13">
        <f t="shared" si="0"/>
        <v>1622.8799999999999</v>
      </c>
      <c r="H32" s="5"/>
      <c r="I32" s="5"/>
      <c r="J32" s="5"/>
      <c r="K32" s="5"/>
      <c r="L32" s="5"/>
      <c r="M32" s="5"/>
    </row>
    <row r="33" spans="1:17" ht="23.4" x14ac:dyDescent="0.75">
      <c r="A33" s="5">
        <v>16</v>
      </c>
      <c r="B33" s="5" t="s">
        <v>24</v>
      </c>
      <c r="C33" s="12">
        <v>2</v>
      </c>
      <c r="D33" s="12" t="s">
        <v>47</v>
      </c>
      <c r="E33" s="12" t="s">
        <v>54</v>
      </c>
      <c r="F33" s="12">
        <v>2450</v>
      </c>
      <c r="G33" s="13">
        <f t="shared" si="0"/>
        <v>1764</v>
      </c>
      <c r="H33" s="5"/>
      <c r="I33" s="5"/>
      <c r="J33" s="5"/>
      <c r="K33" s="5"/>
      <c r="L33" s="5"/>
      <c r="M33" s="5"/>
    </row>
    <row r="34" spans="1:17" ht="23.4" x14ac:dyDescent="0.75">
      <c r="A34" s="5">
        <v>17</v>
      </c>
      <c r="B34" s="5" t="s">
        <v>25</v>
      </c>
      <c r="C34" s="12">
        <v>1</v>
      </c>
      <c r="D34" s="12" t="s">
        <v>46</v>
      </c>
      <c r="E34" s="12" t="s">
        <v>59</v>
      </c>
      <c r="F34" s="12">
        <v>3920</v>
      </c>
      <c r="G34" s="13">
        <f t="shared" si="0"/>
        <v>1411.2</v>
      </c>
      <c r="H34" s="5"/>
      <c r="I34" s="5"/>
      <c r="J34" s="5"/>
      <c r="K34" s="5"/>
      <c r="L34" s="5"/>
      <c r="M34" s="5"/>
    </row>
    <row r="35" spans="1:17" ht="23.4" x14ac:dyDescent="0.75">
      <c r="A35" s="5">
        <v>17</v>
      </c>
      <c r="B35" s="5" t="s">
        <v>25</v>
      </c>
      <c r="C35" s="12">
        <v>2</v>
      </c>
      <c r="D35" s="12" t="s">
        <v>47</v>
      </c>
      <c r="E35" s="12" t="s">
        <v>56</v>
      </c>
      <c r="F35" s="12">
        <v>4410</v>
      </c>
      <c r="G35" s="13">
        <f t="shared" si="0"/>
        <v>3175.2</v>
      </c>
      <c r="H35" s="5"/>
      <c r="I35" s="5"/>
      <c r="J35" s="5"/>
      <c r="K35" s="5"/>
      <c r="L35" s="5"/>
      <c r="M35" s="5"/>
    </row>
    <row r="36" spans="1:17" ht="23.4" x14ac:dyDescent="0.75">
      <c r="A36" s="5">
        <v>18</v>
      </c>
      <c r="B36" s="5" t="s">
        <v>26</v>
      </c>
      <c r="C36" s="12">
        <v>1</v>
      </c>
      <c r="D36" s="12" t="s">
        <v>46</v>
      </c>
      <c r="E36" s="12" t="s">
        <v>61</v>
      </c>
      <c r="F36" s="12">
        <v>4117</v>
      </c>
      <c r="G36" s="13">
        <f t="shared" si="0"/>
        <v>1482.12</v>
      </c>
      <c r="H36" s="5"/>
      <c r="I36" s="5"/>
      <c r="J36" s="5"/>
      <c r="K36" s="5"/>
      <c r="L36" s="5"/>
      <c r="M36" s="5"/>
    </row>
    <row r="37" spans="1:17" ht="23.4" x14ac:dyDescent="0.75">
      <c r="A37" s="5">
        <v>18</v>
      </c>
      <c r="B37" s="5" t="s">
        <v>26</v>
      </c>
      <c r="C37" s="12">
        <v>2</v>
      </c>
      <c r="D37" s="12" t="s">
        <v>47</v>
      </c>
      <c r="E37" s="12" t="s">
        <v>62</v>
      </c>
      <c r="F37" s="12">
        <v>4312</v>
      </c>
      <c r="G37" s="13">
        <f t="shared" si="0"/>
        <v>3104.64</v>
      </c>
      <c r="H37" s="5"/>
      <c r="I37" s="5"/>
      <c r="J37" s="5"/>
      <c r="K37" s="5"/>
      <c r="L37" s="5"/>
      <c r="M37" s="5"/>
    </row>
    <row r="38" spans="1:17" ht="23.4" x14ac:dyDescent="0.75">
      <c r="A38" s="5">
        <v>19</v>
      </c>
      <c r="B38" s="5" t="s">
        <v>27</v>
      </c>
      <c r="C38" s="12">
        <v>1</v>
      </c>
      <c r="D38" s="12" t="s">
        <v>46</v>
      </c>
      <c r="E38" s="12" t="s">
        <v>63</v>
      </c>
      <c r="F38" s="12">
        <v>4370</v>
      </c>
      <c r="G38" s="13">
        <f t="shared" si="0"/>
        <v>1573.2</v>
      </c>
      <c r="H38" s="5"/>
      <c r="I38" s="5"/>
      <c r="J38" s="5"/>
      <c r="K38" s="5"/>
      <c r="L38" s="5"/>
      <c r="M38" s="5"/>
    </row>
    <row r="39" spans="1:17" ht="23.4" x14ac:dyDescent="0.75">
      <c r="A39" s="5">
        <v>19</v>
      </c>
      <c r="B39" s="5" t="s">
        <v>27</v>
      </c>
      <c r="C39" s="12">
        <v>2</v>
      </c>
      <c r="D39" s="12" t="s">
        <v>47</v>
      </c>
      <c r="E39" s="12" t="s">
        <v>64</v>
      </c>
      <c r="F39" s="12">
        <v>6256</v>
      </c>
      <c r="G39" s="13">
        <f t="shared" si="0"/>
        <v>4504.32</v>
      </c>
    </row>
    <row r="40" spans="1:17" ht="23.4" x14ac:dyDescent="0.75">
      <c r="A40" s="5">
        <v>20</v>
      </c>
      <c r="B40" s="5" t="s">
        <v>28</v>
      </c>
      <c r="C40" s="12">
        <v>1</v>
      </c>
      <c r="D40" s="12" t="s">
        <v>46</v>
      </c>
      <c r="E40" s="12" t="s">
        <v>57</v>
      </c>
      <c r="F40" s="12">
        <v>11368</v>
      </c>
      <c r="G40" s="13">
        <f t="shared" si="0"/>
        <v>4092.48</v>
      </c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23.4" x14ac:dyDescent="0.75">
      <c r="A41" s="5">
        <v>20</v>
      </c>
      <c r="B41" s="5" t="s">
        <v>28</v>
      </c>
      <c r="C41" s="12">
        <v>2</v>
      </c>
      <c r="D41" s="12" t="s">
        <v>47</v>
      </c>
      <c r="E41" s="12" t="s">
        <v>55</v>
      </c>
      <c r="F41" s="12">
        <v>10752</v>
      </c>
      <c r="G41" s="13">
        <f t="shared" si="0"/>
        <v>7741.44</v>
      </c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23.4" x14ac:dyDescent="0.75">
      <c r="A42" s="5">
        <v>21</v>
      </c>
      <c r="B42" s="5" t="s">
        <v>29</v>
      </c>
      <c r="C42" s="12">
        <v>1</v>
      </c>
      <c r="D42" s="12" t="s">
        <v>46</v>
      </c>
      <c r="E42" s="12" t="s">
        <v>51</v>
      </c>
      <c r="F42" s="12">
        <v>11520</v>
      </c>
      <c r="G42" s="13">
        <f t="shared" si="0"/>
        <v>4147.2</v>
      </c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23.4" x14ac:dyDescent="0.75">
      <c r="A43" s="5">
        <v>21</v>
      </c>
      <c r="B43" s="5" t="s">
        <v>29</v>
      </c>
      <c r="C43" s="12">
        <v>2</v>
      </c>
      <c r="D43" s="12" t="s">
        <v>48</v>
      </c>
      <c r="E43" s="12" t="s">
        <v>55</v>
      </c>
      <c r="F43" s="12">
        <v>2304</v>
      </c>
      <c r="G43" s="13">
        <f t="shared" si="0"/>
        <v>1658.8799999999999</v>
      </c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23.4" x14ac:dyDescent="0.75">
      <c r="A44" s="5">
        <v>22</v>
      </c>
      <c r="B44" s="5" t="s">
        <v>30</v>
      </c>
      <c r="C44" s="12">
        <v>1</v>
      </c>
      <c r="D44" s="12" t="s">
        <v>46</v>
      </c>
      <c r="E44" s="12" t="s">
        <v>54</v>
      </c>
      <c r="F44" s="12">
        <v>2496</v>
      </c>
      <c r="G44" s="13">
        <f t="shared" si="0"/>
        <v>898.56</v>
      </c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23.4" x14ac:dyDescent="0.75">
      <c r="A45" s="5">
        <v>22</v>
      </c>
      <c r="B45" s="5" t="s">
        <v>30</v>
      </c>
      <c r="C45" s="12">
        <v>2</v>
      </c>
      <c r="D45" s="12" t="s">
        <v>47</v>
      </c>
      <c r="E45" s="12" t="s">
        <v>52</v>
      </c>
      <c r="F45" s="12">
        <v>3417</v>
      </c>
      <c r="G45" s="13">
        <f t="shared" si="0"/>
        <v>2460.2399999999998</v>
      </c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23.4" x14ac:dyDescent="0.75">
      <c r="A46" s="5">
        <v>23</v>
      </c>
      <c r="B46" s="5" t="s">
        <v>31</v>
      </c>
      <c r="C46" s="12">
        <v>1</v>
      </c>
      <c r="D46" s="12" t="s">
        <v>46</v>
      </c>
      <c r="E46" s="12" t="s">
        <v>50</v>
      </c>
      <c r="F46" s="12">
        <v>3340</v>
      </c>
      <c r="G46" s="13">
        <f t="shared" si="0"/>
        <v>1202.3999999999999</v>
      </c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23.4" x14ac:dyDescent="0.75">
      <c r="A47" s="5">
        <v>23</v>
      </c>
      <c r="B47" s="5" t="s">
        <v>31</v>
      </c>
      <c r="C47" s="12">
        <v>2</v>
      </c>
      <c r="D47" s="12" t="s">
        <v>47</v>
      </c>
      <c r="E47" s="12" t="s">
        <v>56</v>
      </c>
      <c r="F47" s="12">
        <v>2918</v>
      </c>
      <c r="G47" s="13">
        <f t="shared" si="0"/>
        <v>2100.96</v>
      </c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23.4" x14ac:dyDescent="0.75">
      <c r="A48" s="5">
        <v>24</v>
      </c>
      <c r="B48" s="5" t="s">
        <v>32</v>
      </c>
      <c r="C48" s="12">
        <v>1</v>
      </c>
      <c r="D48" s="12" t="s">
        <v>46</v>
      </c>
      <c r="E48" s="12" t="s">
        <v>57</v>
      </c>
      <c r="F48" s="12">
        <v>3849</v>
      </c>
      <c r="G48" s="13">
        <f t="shared" si="0"/>
        <v>1385.6399999999999</v>
      </c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23.4" x14ac:dyDescent="0.75">
      <c r="A49" s="5">
        <v>24</v>
      </c>
      <c r="B49" s="5" t="s">
        <v>32</v>
      </c>
      <c r="C49" s="12">
        <v>2</v>
      </c>
      <c r="D49" s="12" t="s">
        <v>47</v>
      </c>
      <c r="E49" s="12" t="s">
        <v>61</v>
      </c>
      <c r="F49" s="12">
        <v>4608</v>
      </c>
      <c r="G49" s="13">
        <f t="shared" si="0"/>
        <v>3317.7599999999998</v>
      </c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23.4" x14ac:dyDescent="0.75">
      <c r="A50" s="5">
        <v>25</v>
      </c>
      <c r="B50" s="5" t="s">
        <v>33</v>
      </c>
      <c r="C50" s="12">
        <v>1</v>
      </c>
      <c r="D50" s="12" t="s">
        <v>46</v>
      </c>
      <c r="E50" s="12" t="s">
        <v>59</v>
      </c>
      <c r="F50" s="12">
        <v>4800</v>
      </c>
      <c r="G50" s="13">
        <f t="shared" si="0"/>
        <v>1728</v>
      </c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23.4" x14ac:dyDescent="0.75">
      <c r="A51" s="5">
        <v>25</v>
      </c>
      <c r="B51" s="5" t="s">
        <v>33</v>
      </c>
      <c r="C51" s="12">
        <v>2</v>
      </c>
      <c r="D51" s="12" t="s">
        <v>47</v>
      </c>
      <c r="E51" s="12" t="s">
        <v>65</v>
      </c>
      <c r="F51" s="12">
        <v>5952</v>
      </c>
      <c r="G51" s="13">
        <f t="shared" si="0"/>
        <v>4285.4399999999996</v>
      </c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23.4" x14ac:dyDescent="0.75">
      <c r="A52" s="5">
        <v>26</v>
      </c>
      <c r="B52" s="5" t="s">
        <v>34</v>
      </c>
      <c r="C52" s="12">
        <v>1</v>
      </c>
      <c r="D52" s="12" t="s">
        <v>46</v>
      </c>
      <c r="E52" s="12" t="s">
        <v>66</v>
      </c>
      <c r="F52" s="12">
        <v>6336</v>
      </c>
      <c r="G52" s="13">
        <f t="shared" si="0"/>
        <v>2280.96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23.4" x14ac:dyDescent="0.75">
      <c r="A53" s="5">
        <v>26</v>
      </c>
      <c r="B53" s="5" t="s">
        <v>34</v>
      </c>
      <c r="C53" s="12">
        <v>2</v>
      </c>
      <c r="D53" s="12" t="s">
        <v>47</v>
      </c>
      <c r="E53" s="12" t="s">
        <v>67</v>
      </c>
      <c r="F53" s="12">
        <v>6720</v>
      </c>
      <c r="G53" s="13">
        <f t="shared" si="0"/>
        <v>4838.3999999999996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23.4" x14ac:dyDescent="0.75">
      <c r="A54" s="5">
        <v>27</v>
      </c>
      <c r="B54" s="5" t="s">
        <v>35</v>
      </c>
      <c r="C54" s="12">
        <v>1</v>
      </c>
      <c r="D54" s="12" t="s">
        <v>46</v>
      </c>
      <c r="E54" s="12" t="s">
        <v>65</v>
      </c>
      <c r="F54" s="12">
        <v>6912</v>
      </c>
      <c r="G54" s="13">
        <f t="shared" si="0"/>
        <v>2488.3199999999997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23.4" x14ac:dyDescent="0.75">
      <c r="A55" s="5">
        <v>27</v>
      </c>
      <c r="B55" s="5" t="s">
        <v>35</v>
      </c>
      <c r="C55" s="12">
        <v>2</v>
      </c>
      <c r="D55" s="12" t="s">
        <v>47</v>
      </c>
      <c r="E55" s="12" t="s">
        <v>67</v>
      </c>
      <c r="F55" s="12">
        <v>7680</v>
      </c>
      <c r="G55" s="13">
        <f t="shared" si="0"/>
        <v>5529.5999999999995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23.4" x14ac:dyDescent="0.75">
      <c r="A56" s="5">
        <v>28</v>
      </c>
      <c r="B56" s="5" t="s">
        <v>36</v>
      </c>
      <c r="C56" s="12">
        <v>1</v>
      </c>
      <c r="D56" s="12" t="s">
        <v>46</v>
      </c>
      <c r="E56" s="12" t="s">
        <v>65</v>
      </c>
      <c r="F56" s="12">
        <v>8102</v>
      </c>
      <c r="G56" s="13">
        <f t="shared" si="0"/>
        <v>2916.72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23.4" x14ac:dyDescent="0.75">
      <c r="A57" s="5">
        <v>28</v>
      </c>
      <c r="B57" s="5" t="s">
        <v>36</v>
      </c>
      <c r="C57" s="12">
        <v>2</v>
      </c>
      <c r="D57" s="12" t="s">
        <v>47</v>
      </c>
      <c r="E57" s="12" t="s">
        <v>57</v>
      </c>
      <c r="F57" s="12">
        <v>2112</v>
      </c>
      <c r="G57" s="13">
        <f t="shared" si="0"/>
        <v>1520.6399999999999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23.4" x14ac:dyDescent="0.75">
      <c r="A58" s="5">
        <v>29</v>
      </c>
      <c r="B58" s="5" t="s">
        <v>37</v>
      </c>
      <c r="C58" s="12">
        <v>1</v>
      </c>
      <c r="D58" s="12" t="s">
        <v>46</v>
      </c>
      <c r="E58" s="12" t="s">
        <v>67</v>
      </c>
      <c r="F58" s="12">
        <v>2150</v>
      </c>
      <c r="G58" s="13">
        <f t="shared" si="0"/>
        <v>774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23.4" x14ac:dyDescent="0.75">
      <c r="A59" s="5">
        <v>29</v>
      </c>
      <c r="B59" s="5" t="s">
        <v>37</v>
      </c>
      <c r="C59" s="12">
        <v>2</v>
      </c>
      <c r="D59" s="12" t="s">
        <v>47</v>
      </c>
      <c r="E59" s="12" t="s">
        <v>65</v>
      </c>
      <c r="F59" s="12">
        <v>2265</v>
      </c>
      <c r="G59" s="13">
        <f t="shared" si="0"/>
        <v>1630.8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ht="23.4" x14ac:dyDescent="0.75">
      <c r="A60" s="5">
        <v>30</v>
      </c>
      <c r="B60" s="5" t="s">
        <v>38</v>
      </c>
      <c r="C60" s="12">
        <v>1</v>
      </c>
      <c r="D60" s="12" t="s">
        <v>46</v>
      </c>
      <c r="E60" s="12" t="s">
        <v>67</v>
      </c>
      <c r="F60" s="12">
        <v>3072</v>
      </c>
      <c r="G60" s="13">
        <f t="shared" si="0"/>
        <v>1105.92</v>
      </c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23.4" x14ac:dyDescent="0.75">
      <c r="A61" s="5">
        <v>30</v>
      </c>
      <c r="B61" s="5" t="s">
        <v>38</v>
      </c>
      <c r="C61" s="12">
        <v>2</v>
      </c>
      <c r="D61" s="12" t="s">
        <v>47</v>
      </c>
      <c r="E61" s="12" t="s">
        <v>65</v>
      </c>
      <c r="F61" s="12">
        <v>4339</v>
      </c>
      <c r="G61" s="13">
        <f t="shared" si="0"/>
        <v>3124.08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21.6" x14ac:dyDescent="0.65">
      <c r="F62" s="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F17B-5D8C-49C4-BF3A-6FA2F23B1711}">
  <sheetPr>
    <tabColor theme="4" tint="-0.249977111117893"/>
  </sheetPr>
  <dimension ref="A1:W76"/>
  <sheetViews>
    <sheetView rightToLeft="1" zoomScale="98" zoomScaleNormal="98" workbookViewId="0">
      <selection activeCell="G2" sqref="G2:G31"/>
    </sheetView>
  </sheetViews>
  <sheetFormatPr defaultRowHeight="13.8" x14ac:dyDescent="0.25"/>
  <cols>
    <col min="1" max="1" width="10" customWidth="1"/>
    <col min="2" max="2" width="15.19921875" customWidth="1"/>
    <col min="3" max="3" width="8.09765625" customWidth="1"/>
    <col min="4" max="4" width="12.5" customWidth="1"/>
    <col min="5" max="5" width="9" bestFit="1" customWidth="1"/>
    <col min="8" max="8" width="12.59765625" customWidth="1"/>
    <col min="9" max="9" width="9" bestFit="1" customWidth="1"/>
  </cols>
  <sheetData>
    <row r="1" spans="1:23" ht="23.4" x14ac:dyDescent="0.75">
      <c r="A1" s="7" t="s">
        <v>40</v>
      </c>
      <c r="B1" s="7" t="s">
        <v>72</v>
      </c>
      <c r="C1" s="14" t="s">
        <v>103</v>
      </c>
      <c r="D1" s="14" t="s">
        <v>68</v>
      </c>
      <c r="E1" s="14" t="s">
        <v>69</v>
      </c>
      <c r="F1" s="7" t="s">
        <v>70</v>
      </c>
      <c r="G1" s="14" t="s">
        <v>71</v>
      </c>
      <c r="H1" s="14" t="s">
        <v>68</v>
      </c>
      <c r="I1" s="14" t="s">
        <v>69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3.4" x14ac:dyDescent="0.75">
      <c r="A2" s="12">
        <v>1</v>
      </c>
      <c r="B2" s="27" t="s">
        <v>73</v>
      </c>
      <c r="C2" s="12" t="s">
        <v>104</v>
      </c>
      <c r="D2" s="12">
        <v>5346</v>
      </c>
      <c r="E2" s="13">
        <f>AVERAGEIF(F:F,"آذر",D:D)</f>
        <v>1972.1333333333334</v>
      </c>
      <c r="F2" s="12" t="s">
        <v>39</v>
      </c>
      <c r="G2" s="12" t="s">
        <v>105</v>
      </c>
      <c r="H2" s="12">
        <v>4248</v>
      </c>
      <c r="I2" s="13">
        <f>AVERAGEIF(F:F,"آذر",H:H)</f>
        <v>3563.1333333333332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3.4" x14ac:dyDescent="0.75">
      <c r="A3" s="12">
        <v>2</v>
      </c>
      <c r="B3" s="27" t="s">
        <v>74</v>
      </c>
      <c r="C3" s="12" t="s">
        <v>104</v>
      </c>
      <c r="D3" s="12">
        <v>2876</v>
      </c>
      <c r="E3" s="13">
        <f t="shared" ref="E3:E31" si="0">AVERAGEIF(F:F,"آذر",D:D)</f>
        <v>1972.1333333333334</v>
      </c>
      <c r="F3" s="12" t="s">
        <v>39</v>
      </c>
      <c r="G3" s="12" t="s">
        <v>105</v>
      </c>
      <c r="H3" s="12">
        <v>2873</v>
      </c>
      <c r="I3" s="13">
        <f t="shared" ref="I3:I31" si="1">AVERAGEIF(F:F,"آذر",H:H)</f>
        <v>3563.1333333333332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3.4" x14ac:dyDescent="0.75">
      <c r="A4" s="12">
        <v>3</v>
      </c>
      <c r="B4" s="27" t="s">
        <v>75</v>
      </c>
      <c r="C4" s="12" t="s">
        <v>104</v>
      </c>
      <c r="D4" s="12">
        <v>1078</v>
      </c>
      <c r="E4" s="13">
        <f t="shared" si="0"/>
        <v>1972.1333333333334</v>
      </c>
      <c r="F4" s="12" t="s">
        <v>39</v>
      </c>
      <c r="G4" s="12" t="s">
        <v>105</v>
      </c>
      <c r="H4" s="12">
        <v>8557</v>
      </c>
      <c r="I4" s="13">
        <f t="shared" si="1"/>
        <v>3563.1333333333332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3.4" x14ac:dyDescent="0.75">
      <c r="A5" s="12">
        <v>4</v>
      </c>
      <c r="B5" s="27" t="s">
        <v>76</v>
      </c>
      <c r="C5" s="12" t="s">
        <v>104</v>
      </c>
      <c r="D5" s="12">
        <v>1296</v>
      </c>
      <c r="E5" s="13">
        <f t="shared" si="0"/>
        <v>1972.1333333333334</v>
      </c>
      <c r="F5" s="12" t="s">
        <v>39</v>
      </c>
      <c r="G5" s="12" t="s">
        <v>105</v>
      </c>
      <c r="H5" s="12">
        <v>4680</v>
      </c>
      <c r="I5" s="13">
        <f t="shared" si="1"/>
        <v>3563.1333333333332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3.4" x14ac:dyDescent="0.75">
      <c r="A6" s="12">
        <v>5</v>
      </c>
      <c r="B6" s="27" t="s">
        <v>77</v>
      </c>
      <c r="C6" s="12" t="s">
        <v>104</v>
      </c>
      <c r="D6" s="12">
        <v>3810</v>
      </c>
      <c r="E6" s="13">
        <f t="shared" si="0"/>
        <v>1972.1333333333334</v>
      </c>
      <c r="F6" s="12" t="s">
        <v>39</v>
      </c>
      <c r="G6" s="12" t="s">
        <v>105</v>
      </c>
      <c r="H6" s="12">
        <v>3041</v>
      </c>
      <c r="I6" s="13">
        <f t="shared" si="1"/>
        <v>3563.1333333333332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3.4" x14ac:dyDescent="0.75">
      <c r="A7" s="12">
        <v>6</v>
      </c>
      <c r="B7" s="27" t="s">
        <v>78</v>
      </c>
      <c r="C7" s="12" t="s">
        <v>104</v>
      </c>
      <c r="D7" s="12">
        <v>706</v>
      </c>
      <c r="E7" s="13">
        <f t="shared" si="0"/>
        <v>1972.1333333333334</v>
      </c>
      <c r="F7" s="12" t="s">
        <v>39</v>
      </c>
      <c r="G7" s="12" t="s">
        <v>105</v>
      </c>
      <c r="H7" s="12">
        <v>4562</v>
      </c>
      <c r="I7" s="13">
        <f t="shared" si="1"/>
        <v>3563.1333333333332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3.4" x14ac:dyDescent="0.75">
      <c r="A8" s="12">
        <v>7</v>
      </c>
      <c r="B8" s="27" t="s">
        <v>79</v>
      </c>
      <c r="C8" s="12" t="s">
        <v>104</v>
      </c>
      <c r="D8" s="12">
        <v>1659</v>
      </c>
      <c r="E8" s="13">
        <f t="shared" si="0"/>
        <v>1972.1333333333334</v>
      </c>
      <c r="F8" s="12" t="s">
        <v>39</v>
      </c>
      <c r="G8" s="12" t="s">
        <v>105</v>
      </c>
      <c r="H8" s="12">
        <v>6083</v>
      </c>
      <c r="I8" s="13">
        <f t="shared" si="1"/>
        <v>3563.1333333333332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3.4" x14ac:dyDescent="0.75">
      <c r="A9" s="12">
        <v>8</v>
      </c>
      <c r="B9" s="27" t="s">
        <v>80</v>
      </c>
      <c r="C9" s="12" t="s">
        <v>104</v>
      </c>
      <c r="D9" s="12">
        <v>2389</v>
      </c>
      <c r="E9" s="13">
        <f t="shared" si="0"/>
        <v>1972.1333333333334</v>
      </c>
      <c r="F9" s="12" t="s">
        <v>39</v>
      </c>
      <c r="G9" s="12" t="s">
        <v>105</v>
      </c>
      <c r="H9" s="12">
        <v>1581</v>
      </c>
      <c r="I9" s="13">
        <f t="shared" si="1"/>
        <v>3563.1333333333332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3.4" x14ac:dyDescent="0.75">
      <c r="A10" s="12">
        <v>9</v>
      </c>
      <c r="B10" s="27" t="s">
        <v>81</v>
      </c>
      <c r="C10" s="12" t="s">
        <v>104</v>
      </c>
      <c r="D10" s="12">
        <v>1549</v>
      </c>
      <c r="E10" s="13">
        <f t="shared" si="0"/>
        <v>1972.1333333333334</v>
      </c>
      <c r="F10" s="12" t="s">
        <v>39</v>
      </c>
      <c r="G10" s="12" t="s">
        <v>105</v>
      </c>
      <c r="H10" s="12">
        <v>6359</v>
      </c>
      <c r="I10" s="13">
        <f t="shared" si="1"/>
        <v>3563.1333333333332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3.4" x14ac:dyDescent="0.75">
      <c r="A11" s="12">
        <v>10</v>
      </c>
      <c r="B11" s="27" t="s">
        <v>82</v>
      </c>
      <c r="C11" s="12" t="s">
        <v>104</v>
      </c>
      <c r="D11" s="12">
        <v>1746</v>
      </c>
      <c r="E11" s="13">
        <f t="shared" si="0"/>
        <v>1972.1333333333334</v>
      </c>
      <c r="F11" s="12" t="s">
        <v>39</v>
      </c>
      <c r="G11" s="12" t="s">
        <v>105</v>
      </c>
      <c r="H11" s="12">
        <v>1956</v>
      </c>
      <c r="I11" s="13">
        <f t="shared" si="1"/>
        <v>3563.1333333333332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3.4" x14ac:dyDescent="0.75">
      <c r="A12" s="12">
        <v>11</v>
      </c>
      <c r="B12" s="27" t="s">
        <v>83</v>
      </c>
      <c r="C12" s="12" t="s">
        <v>104</v>
      </c>
      <c r="D12" s="12">
        <v>859</v>
      </c>
      <c r="E12" s="13">
        <f t="shared" si="0"/>
        <v>1972.1333333333334</v>
      </c>
      <c r="F12" s="12" t="s">
        <v>39</v>
      </c>
      <c r="G12" s="12" t="s">
        <v>105</v>
      </c>
      <c r="H12" s="12">
        <v>1956</v>
      </c>
      <c r="I12" s="13">
        <f t="shared" si="1"/>
        <v>3563.1333333333332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3.4" x14ac:dyDescent="0.75">
      <c r="A13" s="12">
        <v>12</v>
      </c>
      <c r="B13" s="27" t="s">
        <v>84</v>
      </c>
      <c r="C13" s="12" t="s">
        <v>104</v>
      </c>
      <c r="D13" s="12">
        <v>852</v>
      </c>
      <c r="E13" s="13">
        <f t="shared" si="0"/>
        <v>1972.1333333333334</v>
      </c>
      <c r="F13" s="12" t="s">
        <v>39</v>
      </c>
      <c r="G13" s="12" t="s">
        <v>105</v>
      </c>
      <c r="H13" s="12">
        <v>2794</v>
      </c>
      <c r="I13" s="13">
        <f t="shared" si="1"/>
        <v>3563.1333333333332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3.4" x14ac:dyDescent="0.75">
      <c r="A14" s="12">
        <v>13</v>
      </c>
      <c r="B14" s="27" t="s">
        <v>85</v>
      </c>
      <c r="C14" s="12" t="s">
        <v>104</v>
      </c>
      <c r="D14" s="12">
        <v>2117</v>
      </c>
      <c r="E14" s="13">
        <f t="shared" si="0"/>
        <v>1972.1333333333334</v>
      </c>
      <c r="F14" s="12" t="s">
        <v>39</v>
      </c>
      <c r="G14" s="12" t="s">
        <v>105</v>
      </c>
      <c r="H14" s="12">
        <v>2946</v>
      </c>
      <c r="I14" s="13">
        <f t="shared" si="1"/>
        <v>3563.1333333333332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3.4" x14ac:dyDescent="0.75">
      <c r="A15" s="12">
        <v>14</v>
      </c>
      <c r="B15" s="27" t="s">
        <v>86</v>
      </c>
      <c r="C15" s="12" t="s">
        <v>104</v>
      </c>
      <c r="D15" s="12">
        <v>2187</v>
      </c>
      <c r="E15" s="13">
        <f t="shared" si="0"/>
        <v>1972.1333333333334</v>
      </c>
      <c r="F15" s="12" t="s">
        <v>39</v>
      </c>
      <c r="G15" s="12" t="s">
        <v>105</v>
      </c>
      <c r="H15" s="12">
        <v>3168</v>
      </c>
      <c r="I15" s="13">
        <f t="shared" si="1"/>
        <v>3563.1333333333332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3.4" x14ac:dyDescent="0.75">
      <c r="A16" s="12">
        <v>15</v>
      </c>
      <c r="B16" s="27" t="s">
        <v>87</v>
      </c>
      <c r="C16" s="12" t="s">
        <v>104</v>
      </c>
      <c r="D16" s="12">
        <v>1585</v>
      </c>
      <c r="E16" s="13">
        <f t="shared" si="0"/>
        <v>1972.1333333333334</v>
      </c>
      <c r="F16" s="12" t="s">
        <v>39</v>
      </c>
      <c r="G16" s="12" t="s">
        <v>105</v>
      </c>
      <c r="H16" s="12">
        <v>3034</v>
      </c>
      <c r="I16" s="13">
        <f t="shared" si="1"/>
        <v>3563.1333333333332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3.4" x14ac:dyDescent="0.75">
      <c r="A17" s="12">
        <v>16</v>
      </c>
      <c r="B17" s="27" t="s">
        <v>88</v>
      </c>
      <c r="C17" s="12" t="s">
        <v>104</v>
      </c>
      <c r="D17" s="12">
        <v>1623</v>
      </c>
      <c r="E17" s="13">
        <f t="shared" si="0"/>
        <v>1972.1333333333334</v>
      </c>
      <c r="F17" s="12" t="s">
        <v>39</v>
      </c>
      <c r="G17" s="12" t="s">
        <v>105</v>
      </c>
      <c r="H17" s="12">
        <v>1764</v>
      </c>
      <c r="I17" s="13">
        <f t="shared" si="1"/>
        <v>3563.1333333333332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3.4" x14ac:dyDescent="0.75">
      <c r="A18" s="12">
        <v>17</v>
      </c>
      <c r="B18" s="27" t="s">
        <v>89</v>
      </c>
      <c r="C18" s="12" t="s">
        <v>104</v>
      </c>
      <c r="D18" s="12">
        <v>1411</v>
      </c>
      <c r="E18" s="13">
        <f t="shared" si="0"/>
        <v>1972.1333333333334</v>
      </c>
      <c r="F18" s="12" t="s">
        <v>39</v>
      </c>
      <c r="G18" s="12" t="s">
        <v>105</v>
      </c>
      <c r="H18" s="12">
        <v>3175</v>
      </c>
      <c r="I18" s="13">
        <f t="shared" si="1"/>
        <v>3563.1333333333332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3.4" x14ac:dyDescent="0.75">
      <c r="A19" s="12">
        <v>18</v>
      </c>
      <c r="B19" s="27" t="s">
        <v>90</v>
      </c>
      <c r="C19" s="12" t="s">
        <v>104</v>
      </c>
      <c r="D19" s="12">
        <v>1482</v>
      </c>
      <c r="E19" s="13">
        <f t="shared" si="0"/>
        <v>1972.1333333333334</v>
      </c>
      <c r="F19" s="12" t="s">
        <v>39</v>
      </c>
      <c r="G19" s="12" t="s">
        <v>105</v>
      </c>
      <c r="H19" s="12">
        <v>3105</v>
      </c>
      <c r="I19" s="13">
        <f t="shared" si="1"/>
        <v>3563.1333333333332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3.4" x14ac:dyDescent="0.75">
      <c r="A20" s="12">
        <v>19</v>
      </c>
      <c r="B20" s="27" t="s">
        <v>91</v>
      </c>
      <c r="C20" s="12" t="s">
        <v>104</v>
      </c>
      <c r="D20" s="12">
        <v>1573</v>
      </c>
      <c r="E20" s="13">
        <f t="shared" si="0"/>
        <v>1972.1333333333334</v>
      </c>
      <c r="F20" s="12" t="s">
        <v>39</v>
      </c>
      <c r="G20" s="12" t="s">
        <v>105</v>
      </c>
      <c r="H20" s="12">
        <v>4504</v>
      </c>
      <c r="I20" s="13">
        <f t="shared" si="1"/>
        <v>3563.1333333333332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3.4" x14ac:dyDescent="0.75">
      <c r="A21" s="12">
        <v>20</v>
      </c>
      <c r="B21" s="27" t="s">
        <v>92</v>
      </c>
      <c r="C21" s="12" t="s">
        <v>104</v>
      </c>
      <c r="D21" s="12">
        <v>4092</v>
      </c>
      <c r="E21" s="13">
        <f t="shared" si="0"/>
        <v>1972.1333333333334</v>
      </c>
      <c r="F21" s="12" t="s">
        <v>39</v>
      </c>
      <c r="G21" s="12" t="s">
        <v>105</v>
      </c>
      <c r="H21" s="12">
        <v>7741</v>
      </c>
      <c r="I21" s="13">
        <f t="shared" si="1"/>
        <v>3563.1333333333332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3.4" x14ac:dyDescent="0.75">
      <c r="A22" s="12">
        <v>21</v>
      </c>
      <c r="B22" s="27" t="s">
        <v>93</v>
      </c>
      <c r="C22" s="12" t="s">
        <v>104</v>
      </c>
      <c r="D22" s="12">
        <v>4147</v>
      </c>
      <c r="E22" s="13">
        <f t="shared" si="0"/>
        <v>1972.1333333333334</v>
      </c>
      <c r="F22" s="12" t="s">
        <v>39</v>
      </c>
      <c r="G22" s="12" t="s">
        <v>105</v>
      </c>
      <c r="H22" s="12">
        <v>1659</v>
      </c>
      <c r="I22" s="13">
        <f t="shared" si="1"/>
        <v>3563.1333333333332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3.4" x14ac:dyDescent="0.75">
      <c r="A23" s="12">
        <v>22</v>
      </c>
      <c r="B23" s="27" t="s">
        <v>94</v>
      </c>
      <c r="C23" s="12" t="s">
        <v>104</v>
      </c>
      <c r="D23" s="12">
        <v>899</v>
      </c>
      <c r="E23" s="13">
        <f t="shared" si="0"/>
        <v>1972.1333333333334</v>
      </c>
      <c r="F23" s="12" t="s">
        <v>39</v>
      </c>
      <c r="G23" s="12" t="s">
        <v>105</v>
      </c>
      <c r="H23" s="12">
        <v>2460</v>
      </c>
      <c r="I23" s="13">
        <f t="shared" si="1"/>
        <v>3563.1333333333332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3.4" x14ac:dyDescent="0.75">
      <c r="A24" s="12">
        <v>23</v>
      </c>
      <c r="B24" s="27" t="s">
        <v>95</v>
      </c>
      <c r="C24" s="12" t="s">
        <v>104</v>
      </c>
      <c r="D24" s="12">
        <v>1202</v>
      </c>
      <c r="E24" s="13">
        <f t="shared" si="0"/>
        <v>1972.1333333333334</v>
      </c>
      <c r="F24" s="12" t="s">
        <v>39</v>
      </c>
      <c r="G24" s="12" t="s">
        <v>105</v>
      </c>
      <c r="H24" s="12">
        <v>2101</v>
      </c>
      <c r="I24" s="13">
        <f t="shared" si="1"/>
        <v>3563.1333333333332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23.4" x14ac:dyDescent="0.75">
      <c r="A25" s="12">
        <v>24</v>
      </c>
      <c r="B25" s="27" t="s">
        <v>96</v>
      </c>
      <c r="C25" s="12" t="s">
        <v>104</v>
      </c>
      <c r="D25" s="12">
        <v>1386</v>
      </c>
      <c r="E25" s="13">
        <f t="shared" si="0"/>
        <v>1972.1333333333334</v>
      </c>
      <c r="F25" s="12" t="s">
        <v>39</v>
      </c>
      <c r="G25" s="12" t="s">
        <v>105</v>
      </c>
      <c r="H25" s="12">
        <v>3318</v>
      </c>
      <c r="I25" s="13">
        <f t="shared" si="1"/>
        <v>3563.1333333333332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23.4" x14ac:dyDescent="0.75">
      <c r="A26" s="12">
        <v>25</v>
      </c>
      <c r="B26" s="27" t="s">
        <v>97</v>
      </c>
      <c r="C26" s="12" t="s">
        <v>104</v>
      </c>
      <c r="D26" s="12">
        <v>1728</v>
      </c>
      <c r="E26" s="13">
        <f t="shared" si="0"/>
        <v>1972.1333333333334</v>
      </c>
      <c r="F26" s="12" t="s">
        <v>39</v>
      </c>
      <c r="G26" s="12" t="s">
        <v>105</v>
      </c>
      <c r="H26" s="12">
        <v>2585</v>
      </c>
      <c r="I26" s="13">
        <f t="shared" si="1"/>
        <v>3563.1333333333332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3.4" x14ac:dyDescent="0.75">
      <c r="A27" s="12">
        <v>26</v>
      </c>
      <c r="B27" s="27" t="s">
        <v>98</v>
      </c>
      <c r="C27" s="12" t="s">
        <v>104</v>
      </c>
      <c r="D27" s="12">
        <v>2281</v>
      </c>
      <c r="E27" s="13">
        <f t="shared" si="0"/>
        <v>1972.1333333333334</v>
      </c>
      <c r="F27" s="12" t="s">
        <v>39</v>
      </c>
      <c r="G27" s="12" t="s">
        <v>105</v>
      </c>
      <c r="H27" s="12">
        <v>4838</v>
      </c>
      <c r="I27" s="13">
        <f t="shared" si="1"/>
        <v>3563.1333333333332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3.4" x14ac:dyDescent="0.75">
      <c r="A28" s="12">
        <v>27</v>
      </c>
      <c r="B28" s="27" t="s">
        <v>99</v>
      </c>
      <c r="C28" s="12" t="s">
        <v>104</v>
      </c>
      <c r="D28" s="12">
        <v>2488</v>
      </c>
      <c r="E28" s="13">
        <f t="shared" si="0"/>
        <v>1972.1333333333334</v>
      </c>
      <c r="F28" s="12" t="s">
        <v>39</v>
      </c>
      <c r="G28" s="12" t="s">
        <v>105</v>
      </c>
      <c r="H28" s="12">
        <v>5530</v>
      </c>
      <c r="I28" s="13">
        <f t="shared" si="1"/>
        <v>3563.1333333333332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3.4" x14ac:dyDescent="0.75">
      <c r="A29" s="12">
        <v>28</v>
      </c>
      <c r="B29" s="27" t="s">
        <v>100</v>
      </c>
      <c r="C29" s="12" t="s">
        <v>104</v>
      </c>
      <c r="D29" s="12">
        <v>2917</v>
      </c>
      <c r="E29" s="13">
        <f t="shared" si="0"/>
        <v>1972.1333333333334</v>
      </c>
      <c r="F29" s="12" t="s">
        <v>39</v>
      </c>
      <c r="G29" s="12" t="s">
        <v>105</v>
      </c>
      <c r="H29" s="12">
        <v>1521</v>
      </c>
      <c r="I29" s="13">
        <f t="shared" si="1"/>
        <v>3563.1333333333332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3.4" x14ac:dyDescent="0.75">
      <c r="A30" s="12">
        <v>29</v>
      </c>
      <c r="B30" s="27" t="s">
        <v>101</v>
      </c>
      <c r="C30" s="12" t="s">
        <v>104</v>
      </c>
      <c r="D30" s="12">
        <v>774</v>
      </c>
      <c r="E30" s="13">
        <f t="shared" si="0"/>
        <v>1972.1333333333334</v>
      </c>
      <c r="F30" s="12" t="s">
        <v>39</v>
      </c>
      <c r="G30" s="12" t="s">
        <v>105</v>
      </c>
      <c r="H30" s="12">
        <v>1631</v>
      </c>
      <c r="I30" s="13">
        <f t="shared" si="1"/>
        <v>3563.1333333333332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23.4" x14ac:dyDescent="0.75">
      <c r="A31" s="12">
        <v>30</v>
      </c>
      <c r="B31" s="27" t="s">
        <v>102</v>
      </c>
      <c r="C31" s="12" t="s">
        <v>46</v>
      </c>
      <c r="D31" s="12">
        <v>1106</v>
      </c>
      <c r="E31" s="13">
        <f t="shared" si="0"/>
        <v>1972.1333333333334</v>
      </c>
      <c r="F31" s="12" t="s">
        <v>39</v>
      </c>
      <c r="G31" s="12" t="s">
        <v>105</v>
      </c>
      <c r="H31" s="12">
        <v>3124</v>
      </c>
      <c r="I31" s="13">
        <f t="shared" si="1"/>
        <v>3563.1333333333332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1.6" x14ac:dyDescent="0.6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1.6" x14ac:dyDescent="0.6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1.6" x14ac:dyDescent="0.6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1.6" x14ac:dyDescent="0.6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1.6" x14ac:dyDescent="0.6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1.6" x14ac:dyDescent="0.6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1.6" x14ac:dyDescent="0.6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1.6" x14ac:dyDescent="0.6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1.6" x14ac:dyDescent="0.6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1.6" x14ac:dyDescent="0.6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1.6" x14ac:dyDescent="0.6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1.6" x14ac:dyDescent="0.6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1.6" x14ac:dyDescent="0.6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1.6" x14ac:dyDescent="0.6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1.6" x14ac:dyDescent="0.6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1.6" x14ac:dyDescent="0.6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1.6" x14ac:dyDescent="0.6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1.6" x14ac:dyDescent="0.6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1.6" x14ac:dyDescent="0.6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1.6" x14ac:dyDescent="0.6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1.6" x14ac:dyDescent="0.6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1.6" x14ac:dyDescent="0.6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1.6" x14ac:dyDescent="0.6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1.6" x14ac:dyDescent="0.6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1.6" x14ac:dyDescent="0.6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1.6" x14ac:dyDescent="0.6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1.6" x14ac:dyDescent="0.6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1.6" x14ac:dyDescent="0.6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1.6" x14ac:dyDescent="0.6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1.6" x14ac:dyDescent="0.6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1.6" x14ac:dyDescent="0.6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1.6" x14ac:dyDescent="0.6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1.6" x14ac:dyDescent="0.6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1.6" x14ac:dyDescent="0.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1.6" x14ac:dyDescent="0.6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1.6" x14ac:dyDescent="0.6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1.6" x14ac:dyDescent="0.6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1.6" x14ac:dyDescent="0.6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1.6" x14ac:dyDescent="0.6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1.6" x14ac:dyDescent="0.6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1.6" x14ac:dyDescent="0.6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1.6" x14ac:dyDescent="0.6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1.6" x14ac:dyDescent="0.6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1.6" x14ac:dyDescent="0.6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1.6" x14ac:dyDescent="0.6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B7F6-6C9B-4073-B989-9677451CCCDC}">
  <sheetPr>
    <tabColor rgb="FF7030A0"/>
  </sheetPr>
  <dimension ref="A1:G62"/>
  <sheetViews>
    <sheetView rightToLeft="1" zoomScale="95" zoomScaleNormal="95" workbookViewId="0">
      <selection activeCell="C2" sqref="C2:C61"/>
    </sheetView>
  </sheetViews>
  <sheetFormatPr defaultRowHeight="21.6" x14ac:dyDescent="0.65"/>
  <cols>
    <col min="1" max="1" width="7.796875" style="5" customWidth="1"/>
    <col min="2" max="2" width="13.5" style="5" customWidth="1"/>
    <col min="3" max="3" width="10.19921875" style="5" customWidth="1"/>
    <col min="4" max="4" width="9.3984375" style="5" customWidth="1"/>
    <col min="5" max="5" width="10.19921875" style="5" customWidth="1"/>
    <col min="6" max="6" width="9.796875" style="5" customWidth="1"/>
    <col min="7" max="7" width="11" style="5" customWidth="1"/>
    <col min="8" max="16384" width="8.796875" style="5"/>
  </cols>
  <sheetData>
    <row r="1" spans="1:7" ht="23.4" x14ac:dyDescent="0.75">
      <c r="A1" s="11" t="s">
        <v>40</v>
      </c>
      <c r="B1" s="11" t="s">
        <v>106</v>
      </c>
      <c r="C1" s="11" t="s">
        <v>107</v>
      </c>
      <c r="D1" s="11" t="s">
        <v>108</v>
      </c>
      <c r="E1" s="11" t="s">
        <v>109</v>
      </c>
      <c r="F1" s="11" t="s">
        <v>110</v>
      </c>
      <c r="G1" s="11" t="s">
        <v>111</v>
      </c>
    </row>
    <row r="2" spans="1:7" ht="23.4" x14ac:dyDescent="0.75">
      <c r="A2" s="12">
        <v>1</v>
      </c>
      <c r="B2" s="12" t="s">
        <v>5</v>
      </c>
      <c r="C2" s="12" t="s">
        <v>46</v>
      </c>
      <c r="D2" s="12">
        <v>0.36</v>
      </c>
      <c r="E2" s="12" t="s">
        <v>49</v>
      </c>
      <c r="F2" s="12">
        <v>14676</v>
      </c>
      <c r="G2" s="13">
        <f>IF(C2="60*60",0.36*F2,0.72*F2)</f>
        <v>5283.36</v>
      </c>
    </row>
    <row r="3" spans="1:7" ht="23.4" x14ac:dyDescent="0.75">
      <c r="A3" s="12">
        <v>1</v>
      </c>
      <c r="B3" s="12" t="s">
        <v>5</v>
      </c>
      <c r="C3" s="12" t="s">
        <v>47</v>
      </c>
      <c r="D3" s="12">
        <v>0.72</v>
      </c>
      <c r="E3" s="12" t="s">
        <v>50</v>
      </c>
      <c r="F3" s="12">
        <v>5811</v>
      </c>
      <c r="G3" s="13">
        <f t="shared" ref="G3:G61" si="0">IF(C3="60*60",0.36*F3,0.72*F3)</f>
        <v>4183.92</v>
      </c>
    </row>
    <row r="4" spans="1:7" ht="23.4" x14ac:dyDescent="0.75">
      <c r="A4" s="12">
        <v>2</v>
      </c>
      <c r="B4" s="12" t="s">
        <v>6</v>
      </c>
      <c r="C4" s="12" t="s">
        <v>46</v>
      </c>
      <c r="D4" s="12">
        <v>0.36</v>
      </c>
      <c r="E4" s="12" t="s">
        <v>51</v>
      </c>
      <c r="F4" s="12">
        <v>7870</v>
      </c>
      <c r="G4" s="13">
        <f t="shared" si="0"/>
        <v>2833.2</v>
      </c>
    </row>
    <row r="5" spans="1:7" ht="23.4" x14ac:dyDescent="0.75">
      <c r="A5" s="12">
        <v>2</v>
      </c>
      <c r="B5" s="12" t="s">
        <v>6</v>
      </c>
      <c r="C5" s="12" t="s">
        <v>47</v>
      </c>
      <c r="D5" s="12">
        <v>0.72</v>
      </c>
      <c r="E5" s="12" t="s">
        <v>52</v>
      </c>
      <c r="F5" s="12">
        <v>3930</v>
      </c>
      <c r="G5" s="13">
        <f t="shared" si="0"/>
        <v>2829.6</v>
      </c>
    </row>
    <row r="6" spans="1:7" ht="23.4" x14ac:dyDescent="0.75">
      <c r="A6" s="12">
        <v>3</v>
      </c>
      <c r="B6" s="12" t="s">
        <v>11</v>
      </c>
      <c r="C6" s="12" t="s">
        <v>46</v>
      </c>
      <c r="D6" s="12">
        <v>0.36</v>
      </c>
      <c r="E6" s="12" t="s">
        <v>51</v>
      </c>
      <c r="F6" s="12">
        <v>2949</v>
      </c>
      <c r="G6" s="13">
        <f t="shared" si="0"/>
        <v>1061.6399999999999</v>
      </c>
    </row>
    <row r="7" spans="1:7" ht="23.4" x14ac:dyDescent="0.75">
      <c r="A7" s="12">
        <v>3</v>
      </c>
      <c r="B7" s="12" t="s">
        <v>11</v>
      </c>
      <c r="C7" s="12" t="s">
        <v>47</v>
      </c>
      <c r="D7" s="12">
        <v>0.72</v>
      </c>
      <c r="E7" s="12" t="s">
        <v>49</v>
      </c>
      <c r="F7" s="12">
        <v>11706</v>
      </c>
      <c r="G7" s="13">
        <f t="shared" si="0"/>
        <v>8428.32</v>
      </c>
    </row>
    <row r="8" spans="1:7" ht="23.4" x14ac:dyDescent="0.75">
      <c r="A8" s="12">
        <v>4</v>
      </c>
      <c r="B8" s="12" t="s">
        <v>12</v>
      </c>
      <c r="C8" s="12" t="s">
        <v>46</v>
      </c>
      <c r="D8" s="12">
        <v>0.36</v>
      </c>
      <c r="E8" s="12" t="s">
        <v>53</v>
      </c>
      <c r="F8" s="12">
        <v>3546</v>
      </c>
      <c r="G8" s="13">
        <f t="shared" si="0"/>
        <v>1276.56</v>
      </c>
    </row>
    <row r="9" spans="1:7" ht="23.4" x14ac:dyDescent="0.75">
      <c r="A9" s="12">
        <v>4</v>
      </c>
      <c r="B9" s="12" t="s">
        <v>12</v>
      </c>
      <c r="C9" s="12" t="s">
        <v>47</v>
      </c>
      <c r="D9" s="12">
        <v>0.72</v>
      </c>
      <c r="E9" s="12" t="s">
        <v>54</v>
      </c>
      <c r="F9" s="12">
        <v>6402</v>
      </c>
      <c r="G9" s="13">
        <f t="shared" si="0"/>
        <v>4609.4399999999996</v>
      </c>
    </row>
    <row r="10" spans="1:7" ht="23.4" x14ac:dyDescent="0.75">
      <c r="A10" s="12">
        <v>5</v>
      </c>
      <c r="B10" s="12" t="s">
        <v>13</v>
      </c>
      <c r="C10" s="12" t="s">
        <v>46</v>
      </c>
      <c r="D10" s="12">
        <v>0.36</v>
      </c>
      <c r="E10" s="12" t="s">
        <v>49</v>
      </c>
      <c r="F10" s="12">
        <v>10425</v>
      </c>
      <c r="G10" s="13">
        <f t="shared" si="0"/>
        <v>3753</v>
      </c>
    </row>
    <row r="11" spans="1:7" ht="23.4" x14ac:dyDescent="0.75">
      <c r="A11" s="12">
        <v>5</v>
      </c>
      <c r="B11" s="12" t="s">
        <v>45</v>
      </c>
      <c r="C11" s="12" t="s">
        <v>47</v>
      </c>
      <c r="D11" s="12">
        <v>0.72</v>
      </c>
      <c r="E11" s="12" t="s">
        <v>50</v>
      </c>
      <c r="F11" s="12">
        <v>4160</v>
      </c>
      <c r="G11" s="13">
        <f t="shared" si="0"/>
        <v>2995.2</v>
      </c>
    </row>
    <row r="12" spans="1:7" ht="23.4" x14ac:dyDescent="0.75">
      <c r="A12" s="12">
        <v>6</v>
      </c>
      <c r="B12" s="12" t="s">
        <v>20</v>
      </c>
      <c r="C12" s="12" t="s">
        <v>46</v>
      </c>
      <c r="D12" s="12">
        <v>0.36</v>
      </c>
      <c r="E12" s="12" t="s">
        <v>52</v>
      </c>
      <c r="F12" s="12">
        <v>1930</v>
      </c>
      <c r="G12" s="13">
        <f t="shared" si="0"/>
        <v>694.8</v>
      </c>
    </row>
    <row r="13" spans="1:7" ht="23.4" x14ac:dyDescent="0.75">
      <c r="A13" s="12">
        <v>6</v>
      </c>
      <c r="B13" s="12" t="s">
        <v>20</v>
      </c>
      <c r="C13" s="12" t="s">
        <v>47</v>
      </c>
      <c r="D13" s="12">
        <v>0.72</v>
      </c>
      <c r="E13" s="12" t="s">
        <v>55</v>
      </c>
      <c r="F13" s="12">
        <v>6240</v>
      </c>
      <c r="G13" s="13">
        <f t="shared" si="0"/>
        <v>4492.8</v>
      </c>
    </row>
    <row r="14" spans="1:7" ht="23.4" x14ac:dyDescent="0.75">
      <c r="A14" s="12">
        <v>7</v>
      </c>
      <c r="B14" s="12" t="s">
        <v>21</v>
      </c>
      <c r="C14" s="12" t="s">
        <v>46</v>
      </c>
      <c r="D14" s="12">
        <v>0.36</v>
      </c>
      <c r="E14" s="12" t="s">
        <v>51</v>
      </c>
      <c r="F14" s="12">
        <v>4538</v>
      </c>
      <c r="G14" s="13">
        <f t="shared" si="0"/>
        <v>1633.6799999999998</v>
      </c>
    </row>
    <row r="15" spans="1:7" ht="23.4" x14ac:dyDescent="0.75">
      <c r="A15" s="12">
        <v>7</v>
      </c>
      <c r="B15" s="12" t="s">
        <v>21</v>
      </c>
      <c r="C15" s="12" t="s">
        <v>47</v>
      </c>
      <c r="D15" s="12">
        <v>0.72</v>
      </c>
      <c r="E15" s="12" t="s">
        <v>55</v>
      </c>
      <c r="F15" s="12">
        <v>8315</v>
      </c>
      <c r="G15" s="13">
        <f t="shared" si="0"/>
        <v>5986.8</v>
      </c>
    </row>
    <row r="16" spans="1:7" ht="23.4" x14ac:dyDescent="0.75">
      <c r="A16" s="12">
        <v>8</v>
      </c>
      <c r="B16" s="12" t="s">
        <v>22</v>
      </c>
      <c r="C16" s="12" t="s">
        <v>46</v>
      </c>
      <c r="D16" s="12">
        <v>0.36</v>
      </c>
      <c r="E16" s="12" t="s">
        <v>54</v>
      </c>
      <c r="F16" s="12">
        <v>6537</v>
      </c>
      <c r="G16" s="13">
        <f t="shared" si="0"/>
        <v>2353.3199999999997</v>
      </c>
    </row>
    <row r="17" spans="1:7" ht="23.4" x14ac:dyDescent="0.75">
      <c r="A17" s="12">
        <v>8</v>
      </c>
      <c r="B17" s="12" t="s">
        <v>22</v>
      </c>
      <c r="C17" s="12" t="s">
        <v>47</v>
      </c>
      <c r="D17" s="12">
        <v>0.72</v>
      </c>
      <c r="E17" s="12" t="s">
        <v>52</v>
      </c>
      <c r="F17" s="12">
        <v>2163</v>
      </c>
      <c r="G17" s="13">
        <f t="shared" si="0"/>
        <v>1557.36</v>
      </c>
    </row>
    <row r="18" spans="1:7" ht="23.4" x14ac:dyDescent="0.75">
      <c r="A18" s="12">
        <v>9</v>
      </c>
      <c r="B18" s="12" t="s">
        <v>23</v>
      </c>
      <c r="C18" s="12" t="s">
        <v>46</v>
      </c>
      <c r="D18" s="12">
        <v>0.36</v>
      </c>
      <c r="E18" s="12" t="s">
        <v>55</v>
      </c>
      <c r="F18" s="12">
        <v>1549</v>
      </c>
      <c r="G18" s="13">
        <f t="shared" si="0"/>
        <v>557.64</v>
      </c>
    </row>
    <row r="19" spans="1:7" ht="23.4" x14ac:dyDescent="0.75">
      <c r="A19" s="12">
        <v>9</v>
      </c>
      <c r="B19" s="12" t="s">
        <v>23</v>
      </c>
      <c r="C19" s="12" t="s">
        <v>47</v>
      </c>
      <c r="D19" s="12">
        <v>0.72</v>
      </c>
      <c r="E19" s="12" t="s">
        <v>51</v>
      </c>
      <c r="F19" s="12">
        <v>8699</v>
      </c>
      <c r="G19" s="13">
        <f t="shared" si="0"/>
        <v>6263.28</v>
      </c>
    </row>
    <row r="20" spans="1:7" ht="23.4" x14ac:dyDescent="0.75">
      <c r="A20" s="12">
        <v>10</v>
      </c>
      <c r="B20" s="12" t="s">
        <v>14</v>
      </c>
      <c r="C20" s="12" t="s">
        <v>46</v>
      </c>
      <c r="D20" s="12">
        <v>0.36</v>
      </c>
      <c r="E20" s="12" t="s">
        <v>55</v>
      </c>
      <c r="F20" s="12">
        <v>4777</v>
      </c>
      <c r="G20" s="13">
        <f t="shared" si="0"/>
        <v>1719.72</v>
      </c>
    </row>
    <row r="21" spans="1:7" ht="23.4" x14ac:dyDescent="0.75">
      <c r="A21" s="12">
        <v>10</v>
      </c>
      <c r="B21" s="12" t="s">
        <v>14</v>
      </c>
      <c r="C21" s="12" t="s">
        <v>47</v>
      </c>
      <c r="D21" s="12">
        <v>0.72</v>
      </c>
      <c r="E21" s="12" t="s">
        <v>54</v>
      </c>
      <c r="F21" s="12">
        <v>2675</v>
      </c>
      <c r="G21" s="13">
        <f t="shared" si="0"/>
        <v>1926</v>
      </c>
    </row>
    <row r="22" spans="1:7" ht="23.4" x14ac:dyDescent="0.75">
      <c r="A22" s="12">
        <v>11</v>
      </c>
      <c r="B22" s="12" t="s">
        <v>15</v>
      </c>
      <c r="C22" s="12" t="s">
        <v>46</v>
      </c>
      <c r="D22" s="12">
        <v>0.36</v>
      </c>
      <c r="E22" s="12" t="s">
        <v>52</v>
      </c>
      <c r="F22" s="12">
        <v>2350</v>
      </c>
      <c r="G22" s="13">
        <f t="shared" si="0"/>
        <v>846</v>
      </c>
    </row>
    <row r="23" spans="1:7" ht="23.4" x14ac:dyDescent="0.75">
      <c r="A23" s="12">
        <v>11</v>
      </c>
      <c r="B23" s="12" t="s">
        <v>15</v>
      </c>
      <c r="C23" s="12" t="s">
        <v>47</v>
      </c>
      <c r="D23" s="12">
        <v>0.72</v>
      </c>
      <c r="E23" s="12" t="s">
        <v>50</v>
      </c>
      <c r="F23" s="12">
        <v>2675</v>
      </c>
      <c r="G23" s="13">
        <f t="shared" si="0"/>
        <v>1926</v>
      </c>
    </row>
    <row r="24" spans="1:7" ht="23.4" x14ac:dyDescent="0.75">
      <c r="A24" s="12">
        <v>12</v>
      </c>
      <c r="B24" s="12" t="s">
        <v>16</v>
      </c>
      <c r="C24" s="12" t="s">
        <v>46</v>
      </c>
      <c r="D24" s="12">
        <v>0.36</v>
      </c>
      <c r="E24" s="12" t="s">
        <v>56</v>
      </c>
      <c r="F24" s="12">
        <v>2330</v>
      </c>
      <c r="G24" s="13">
        <f t="shared" si="0"/>
        <v>838.8</v>
      </c>
    </row>
    <row r="25" spans="1:7" ht="23.4" x14ac:dyDescent="0.75">
      <c r="A25" s="12">
        <v>12</v>
      </c>
      <c r="B25" s="12" t="s">
        <v>16</v>
      </c>
      <c r="C25" s="12" t="s">
        <v>47</v>
      </c>
      <c r="D25" s="12">
        <v>0.72</v>
      </c>
      <c r="E25" s="12" t="s">
        <v>57</v>
      </c>
      <c r="F25" s="12">
        <v>3821</v>
      </c>
      <c r="G25" s="13">
        <f t="shared" si="0"/>
        <v>2751.12</v>
      </c>
    </row>
    <row r="26" spans="1:7" ht="23.4" x14ac:dyDescent="0.75">
      <c r="A26" s="12">
        <v>13</v>
      </c>
      <c r="B26" s="12" t="s">
        <v>17</v>
      </c>
      <c r="C26" s="12" t="s">
        <v>46</v>
      </c>
      <c r="D26" s="12">
        <v>0.36</v>
      </c>
      <c r="E26" s="12" t="s">
        <v>58</v>
      </c>
      <c r="F26" s="12">
        <v>5791</v>
      </c>
      <c r="G26" s="13">
        <f t="shared" si="0"/>
        <v>2084.7599999999998</v>
      </c>
    </row>
    <row r="27" spans="1:7" ht="23.4" x14ac:dyDescent="0.75">
      <c r="A27" s="12">
        <v>13</v>
      </c>
      <c r="B27" s="12" t="s">
        <v>17</v>
      </c>
      <c r="C27" s="12" t="s">
        <v>47</v>
      </c>
      <c r="D27" s="12">
        <v>0.72</v>
      </c>
      <c r="E27" s="12" t="s">
        <v>59</v>
      </c>
      <c r="F27" s="12">
        <v>4054</v>
      </c>
      <c r="G27" s="13">
        <f t="shared" si="0"/>
        <v>2918.88</v>
      </c>
    </row>
    <row r="28" spans="1:7" ht="23.4" x14ac:dyDescent="0.75">
      <c r="A28" s="12">
        <v>14</v>
      </c>
      <c r="B28" s="12" t="s">
        <v>18</v>
      </c>
      <c r="C28" s="12" t="s">
        <v>46</v>
      </c>
      <c r="D28" s="12">
        <v>0.36</v>
      </c>
      <c r="E28" s="12" t="s">
        <v>60</v>
      </c>
      <c r="F28" s="12">
        <v>5984</v>
      </c>
      <c r="G28" s="13">
        <f t="shared" si="0"/>
        <v>2154.2399999999998</v>
      </c>
    </row>
    <row r="29" spans="1:7" ht="23.4" x14ac:dyDescent="0.75">
      <c r="A29" s="12">
        <v>14</v>
      </c>
      <c r="B29" s="12" t="s">
        <v>18</v>
      </c>
      <c r="C29" s="12" t="s">
        <v>47</v>
      </c>
      <c r="D29" s="12">
        <v>0.72</v>
      </c>
      <c r="E29" s="12" t="s">
        <v>51</v>
      </c>
      <c r="F29" s="12">
        <v>4334</v>
      </c>
      <c r="G29" s="13">
        <f t="shared" si="0"/>
        <v>3120.48</v>
      </c>
    </row>
    <row r="30" spans="1:7" ht="23.4" x14ac:dyDescent="0.75">
      <c r="A30" s="12">
        <v>15</v>
      </c>
      <c r="B30" s="12" t="s">
        <v>19</v>
      </c>
      <c r="C30" s="12" t="s">
        <v>46</v>
      </c>
      <c r="D30" s="12">
        <v>0.36</v>
      </c>
      <c r="E30" s="12" t="s">
        <v>55</v>
      </c>
      <c r="F30" s="12">
        <v>4335</v>
      </c>
      <c r="G30" s="13">
        <f t="shared" si="0"/>
        <v>1560.6</v>
      </c>
    </row>
    <row r="31" spans="1:7" ht="23.4" x14ac:dyDescent="0.75">
      <c r="A31" s="12">
        <v>15</v>
      </c>
      <c r="B31" s="12" t="s">
        <v>19</v>
      </c>
      <c r="C31" s="12" t="s">
        <v>47</v>
      </c>
      <c r="D31" s="12">
        <v>0.72</v>
      </c>
      <c r="E31" s="12" t="s">
        <v>58</v>
      </c>
      <c r="F31" s="12">
        <v>4150</v>
      </c>
      <c r="G31" s="13">
        <f t="shared" si="0"/>
        <v>2988</v>
      </c>
    </row>
    <row r="32" spans="1:7" ht="23.4" x14ac:dyDescent="0.75">
      <c r="A32" s="12">
        <v>16</v>
      </c>
      <c r="B32" s="12" t="s">
        <v>24</v>
      </c>
      <c r="C32" s="12" t="s">
        <v>46</v>
      </c>
      <c r="D32" s="12">
        <v>0.36</v>
      </c>
      <c r="E32" s="12" t="s">
        <v>52</v>
      </c>
      <c r="F32" s="12">
        <v>4440</v>
      </c>
      <c r="G32" s="13">
        <f t="shared" si="0"/>
        <v>1598.3999999999999</v>
      </c>
    </row>
    <row r="33" spans="1:7" ht="23.4" x14ac:dyDescent="0.75">
      <c r="A33" s="12">
        <v>16</v>
      </c>
      <c r="B33" s="12" t="s">
        <v>24</v>
      </c>
      <c r="C33" s="12" t="s">
        <v>47</v>
      </c>
      <c r="D33" s="12">
        <v>0.72</v>
      </c>
      <c r="E33" s="12" t="s">
        <v>54</v>
      </c>
      <c r="F33" s="12">
        <v>2413</v>
      </c>
      <c r="G33" s="13">
        <f t="shared" si="0"/>
        <v>1737.36</v>
      </c>
    </row>
    <row r="34" spans="1:7" ht="23.4" x14ac:dyDescent="0.75">
      <c r="A34" s="12">
        <v>17</v>
      </c>
      <c r="B34" s="12" t="s">
        <v>25</v>
      </c>
      <c r="C34" s="12" t="s">
        <v>46</v>
      </c>
      <c r="D34" s="12">
        <v>0.36</v>
      </c>
      <c r="E34" s="12" t="s">
        <v>59</v>
      </c>
      <c r="F34" s="12">
        <v>3861</v>
      </c>
      <c r="G34" s="13">
        <f t="shared" si="0"/>
        <v>1389.96</v>
      </c>
    </row>
    <row r="35" spans="1:7" ht="23.4" x14ac:dyDescent="0.75">
      <c r="A35" s="12">
        <v>17</v>
      </c>
      <c r="B35" s="12" t="s">
        <v>25</v>
      </c>
      <c r="C35" s="12" t="s">
        <v>47</v>
      </c>
      <c r="D35" s="12">
        <v>0.72</v>
      </c>
      <c r="E35" s="12" t="s">
        <v>56</v>
      </c>
      <c r="F35" s="12">
        <v>4343</v>
      </c>
      <c r="G35" s="13">
        <f t="shared" si="0"/>
        <v>3126.96</v>
      </c>
    </row>
    <row r="36" spans="1:7" ht="23.4" x14ac:dyDescent="0.75">
      <c r="A36" s="12">
        <v>18</v>
      </c>
      <c r="B36" s="12" t="s">
        <v>26</v>
      </c>
      <c r="C36" s="12" t="s">
        <v>46</v>
      </c>
      <c r="D36" s="12">
        <v>0.36</v>
      </c>
      <c r="E36" s="12" t="s">
        <v>61</v>
      </c>
      <c r="F36" s="12">
        <v>4055</v>
      </c>
      <c r="G36" s="13">
        <f t="shared" si="0"/>
        <v>1459.8</v>
      </c>
    </row>
    <row r="37" spans="1:7" ht="23.4" x14ac:dyDescent="0.75">
      <c r="A37" s="12">
        <v>18</v>
      </c>
      <c r="B37" s="12" t="s">
        <v>26</v>
      </c>
      <c r="C37" s="12" t="s">
        <v>47</v>
      </c>
      <c r="D37" s="12">
        <v>0.72</v>
      </c>
      <c r="E37" s="12" t="s">
        <v>62</v>
      </c>
      <c r="F37" s="12">
        <v>4247</v>
      </c>
      <c r="G37" s="13">
        <f t="shared" si="0"/>
        <v>3057.8399999999997</v>
      </c>
    </row>
    <row r="38" spans="1:7" ht="23.4" x14ac:dyDescent="0.75">
      <c r="A38" s="12">
        <v>19</v>
      </c>
      <c r="B38" s="12" t="s">
        <v>27</v>
      </c>
      <c r="C38" s="12" t="s">
        <v>46</v>
      </c>
      <c r="D38" s="12">
        <v>0.36</v>
      </c>
      <c r="E38" s="12" t="s">
        <v>63</v>
      </c>
      <c r="F38" s="12">
        <v>4304</v>
      </c>
      <c r="G38" s="13">
        <f t="shared" si="0"/>
        <v>1549.44</v>
      </c>
    </row>
    <row r="39" spans="1:7" ht="23.4" x14ac:dyDescent="0.75">
      <c r="A39" s="12">
        <v>19</v>
      </c>
      <c r="B39" s="12" t="s">
        <v>27</v>
      </c>
      <c r="C39" s="12" t="s">
        <v>47</v>
      </c>
      <c r="D39" s="12">
        <v>0.72</v>
      </c>
      <c r="E39" s="12" t="s">
        <v>64</v>
      </c>
      <c r="F39" s="12">
        <v>6162</v>
      </c>
      <c r="G39" s="13">
        <f t="shared" si="0"/>
        <v>4436.6399999999994</v>
      </c>
    </row>
    <row r="40" spans="1:7" ht="23.4" x14ac:dyDescent="0.75">
      <c r="A40" s="12">
        <v>20</v>
      </c>
      <c r="B40" s="12" t="s">
        <v>28</v>
      </c>
      <c r="C40" s="12" t="s">
        <v>46</v>
      </c>
      <c r="D40" s="12">
        <v>0.36</v>
      </c>
      <c r="E40" s="12" t="s">
        <v>57</v>
      </c>
      <c r="F40" s="12">
        <v>11197</v>
      </c>
      <c r="G40" s="13">
        <f t="shared" si="0"/>
        <v>4030.92</v>
      </c>
    </row>
    <row r="41" spans="1:7" ht="23.4" x14ac:dyDescent="0.75">
      <c r="A41" s="12">
        <v>20</v>
      </c>
      <c r="B41" s="12" t="s">
        <v>28</v>
      </c>
      <c r="C41" s="12" t="s">
        <v>47</v>
      </c>
      <c r="D41" s="12">
        <v>0.72</v>
      </c>
      <c r="E41" s="12" t="s">
        <v>55</v>
      </c>
      <c r="F41" s="12">
        <v>10590</v>
      </c>
      <c r="G41" s="13">
        <f t="shared" si="0"/>
        <v>7624.7999999999993</v>
      </c>
    </row>
    <row r="42" spans="1:7" ht="23.4" x14ac:dyDescent="0.75">
      <c r="A42" s="12">
        <v>21</v>
      </c>
      <c r="B42" s="12" t="s">
        <v>29</v>
      </c>
      <c r="C42" s="12" t="s">
        <v>46</v>
      </c>
      <c r="D42" s="12">
        <v>0.36</v>
      </c>
      <c r="E42" s="12" t="s">
        <v>51</v>
      </c>
      <c r="F42" s="12">
        <v>11347</v>
      </c>
      <c r="G42" s="13">
        <f t="shared" si="0"/>
        <v>4084.92</v>
      </c>
    </row>
    <row r="43" spans="1:7" ht="23.4" x14ac:dyDescent="0.75">
      <c r="A43" s="12">
        <v>21</v>
      </c>
      <c r="B43" s="12" t="s">
        <v>29</v>
      </c>
      <c r="C43" s="12" t="s">
        <v>48</v>
      </c>
      <c r="D43" s="12">
        <v>0.72</v>
      </c>
      <c r="E43" s="12" t="s">
        <v>55</v>
      </c>
      <c r="F43" s="12">
        <v>2269</v>
      </c>
      <c r="G43" s="13">
        <f t="shared" si="0"/>
        <v>1633.6799999999998</v>
      </c>
    </row>
    <row r="44" spans="1:7" ht="23.4" x14ac:dyDescent="0.75">
      <c r="A44" s="12">
        <v>22</v>
      </c>
      <c r="B44" s="12" t="s">
        <v>30</v>
      </c>
      <c r="C44" s="12" t="s">
        <v>46</v>
      </c>
      <c r="D44" s="12">
        <v>0.36</v>
      </c>
      <c r="E44" s="12" t="s">
        <v>54</v>
      </c>
      <c r="F44" s="12">
        <v>2458</v>
      </c>
      <c r="G44" s="13">
        <f t="shared" si="0"/>
        <v>884.88</v>
      </c>
    </row>
    <row r="45" spans="1:7" ht="23.4" x14ac:dyDescent="0.75">
      <c r="A45" s="12">
        <v>22</v>
      </c>
      <c r="B45" s="12" t="s">
        <v>30</v>
      </c>
      <c r="C45" s="12" t="s">
        <v>47</v>
      </c>
      <c r="D45" s="12">
        <v>0.72</v>
      </c>
      <c r="E45" s="12" t="s">
        <v>52</v>
      </c>
      <c r="F45" s="12">
        <v>3365</v>
      </c>
      <c r="G45" s="13">
        <f t="shared" si="0"/>
        <v>2422.7999999999997</v>
      </c>
    </row>
    <row r="46" spans="1:7" ht="23.4" x14ac:dyDescent="0.75">
      <c r="A46" s="12">
        <v>23</v>
      </c>
      <c r="B46" s="12" t="s">
        <v>31</v>
      </c>
      <c r="C46" s="12" t="s">
        <v>46</v>
      </c>
      <c r="D46" s="12">
        <v>0.36</v>
      </c>
      <c r="E46" s="12" t="s">
        <v>50</v>
      </c>
      <c r="F46" s="12">
        <v>3289</v>
      </c>
      <c r="G46" s="13">
        <f t="shared" si="0"/>
        <v>1184.04</v>
      </c>
    </row>
    <row r="47" spans="1:7" ht="23.4" x14ac:dyDescent="0.75">
      <c r="A47" s="12">
        <v>23</v>
      </c>
      <c r="B47" s="12" t="s">
        <v>31</v>
      </c>
      <c r="C47" s="12" t="s">
        <v>47</v>
      </c>
      <c r="D47" s="12">
        <v>0.72</v>
      </c>
      <c r="E47" s="12" t="s">
        <v>56</v>
      </c>
      <c r="F47" s="12">
        <v>2874</v>
      </c>
      <c r="G47" s="13">
        <f t="shared" si="0"/>
        <v>2069.2799999999997</v>
      </c>
    </row>
    <row r="48" spans="1:7" ht="23.4" x14ac:dyDescent="0.75">
      <c r="A48" s="12">
        <v>24</v>
      </c>
      <c r="B48" s="12" t="s">
        <v>32</v>
      </c>
      <c r="C48" s="12" t="s">
        <v>46</v>
      </c>
      <c r="D48" s="12">
        <v>0.36</v>
      </c>
      <c r="E48" s="12" t="s">
        <v>57</v>
      </c>
      <c r="F48" s="12">
        <v>3791</v>
      </c>
      <c r="G48" s="13">
        <f t="shared" si="0"/>
        <v>1364.76</v>
      </c>
    </row>
    <row r="49" spans="1:7" ht="23.4" x14ac:dyDescent="0.75">
      <c r="A49" s="12">
        <v>24</v>
      </c>
      <c r="B49" s="12" t="s">
        <v>32</v>
      </c>
      <c r="C49" s="12" t="s">
        <v>47</v>
      </c>
      <c r="D49" s="12">
        <v>0.72</v>
      </c>
      <c r="E49" s="12" t="s">
        <v>61</v>
      </c>
      <c r="F49" s="12">
        <v>4538</v>
      </c>
      <c r="G49" s="13">
        <f t="shared" si="0"/>
        <v>3267.3599999999997</v>
      </c>
    </row>
    <row r="50" spans="1:7" ht="23.4" x14ac:dyDescent="0.75">
      <c r="A50" s="12">
        <v>25</v>
      </c>
      <c r="B50" s="12" t="s">
        <v>33</v>
      </c>
      <c r="C50" s="12" t="s">
        <v>46</v>
      </c>
      <c r="D50" s="12">
        <v>0.36</v>
      </c>
      <c r="E50" s="12" t="s">
        <v>59</v>
      </c>
      <c r="F50" s="12">
        <v>4728</v>
      </c>
      <c r="G50" s="13">
        <f t="shared" si="0"/>
        <v>1702.08</v>
      </c>
    </row>
    <row r="51" spans="1:7" ht="23.4" x14ac:dyDescent="0.75">
      <c r="A51" s="12">
        <v>25</v>
      </c>
      <c r="B51" s="12" t="s">
        <v>33</v>
      </c>
      <c r="C51" s="12" t="s">
        <v>47</v>
      </c>
      <c r="D51" s="12">
        <v>0.72</v>
      </c>
      <c r="E51" s="12" t="s">
        <v>65</v>
      </c>
      <c r="F51" s="12">
        <v>5862</v>
      </c>
      <c r="G51" s="13">
        <f t="shared" si="0"/>
        <v>4220.6399999999994</v>
      </c>
    </row>
    <row r="52" spans="1:7" ht="23.4" x14ac:dyDescent="0.75">
      <c r="A52" s="12">
        <v>26</v>
      </c>
      <c r="B52" s="12" t="s">
        <v>34</v>
      </c>
      <c r="C52" s="12" t="s">
        <v>46</v>
      </c>
      <c r="D52" s="12">
        <v>0.36</v>
      </c>
      <c r="E52" s="12" t="s">
        <v>66</v>
      </c>
      <c r="F52" s="12">
        <v>6240</v>
      </c>
      <c r="G52" s="13">
        <f t="shared" si="0"/>
        <v>2246.4</v>
      </c>
    </row>
    <row r="53" spans="1:7" ht="23.4" x14ac:dyDescent="0.75">
      <c r="A53" s="12">
        <v>26</v>
      </c>
      <c r="B53" s="12" t="s">
        <v>34</v>
      </c>
      <c r="C53" s="12" t="s">
        <v>47</v>
      </c>
      <c r="D53" s="12">
        <v>0.72</v>
      </c>
      <c r="E53" s="12" t="s">
        <v>67</v>
      </c>
      <c r="F53" s="12">
        <v>6619</v>
      </c>
      <c r="G53" s="13">
        <f t="shared" si="0"/>
        <v>4765.6799999999994</v>
      </c>
    </row>
    <row r="54" spans="1:7" ht="23.4" x14ac:dyDescent="0.75">
      <c r="A54" s="12">
        <v>27</v>
      </c>
      <c r="B54" s="12" t="s">
        <v>35</v>
      </c>
      <c r="C54" s="12" t="s">
        <v>46</v>
      </c>
      <c r="D54" s="12">
        <v>0.36</v>
      </c>
      <c r="E54" s="12" t="s">
        <v>65</v>
      </c>
      <c r="F54" s="12">
        <v>6808</v>
      </c>
      <c r="G54" s="13">
        <f t="shared" si="0"/>
        <v>2450.88</v>
      </c>
    </row>
    <row r="55" spans="1:7" ht="23.4" x14ac:dyDescent="0.75">
      <c r="A55" s="12">
        <v>27</v>
      </c>
      <c r="B55" s="12" t="s">
        <v>35</v>
      </c>
      <c r="C55" s="12" t="s">
        <v>47</v>
      </c>
      <c r="D55" s="12">
        <v>0.72</v>
      </c>
      <c r="E55" s="12" t="s">
        <v>67</v>
      </c>
      <c r="F55" s="12">
        <v>7564</v>
      </c>
      <c r="G55" s="13">
        <f t="shared" si="0"/>
        <v>5446.08</v>
      </c>
    </row>
    <row r="56" spans="1:7" ht="23.4" x14ac:dyDescent="0.75">
      <c r="A56" s="12">
        <v>28</v>
      </c>
      <c r="B56" s="12" t="s">
        <v>36</v>
      </c>
      <c r="C56" s="12" t="s">
        <v>46</v>
      </c>
      <c r="D56" s="12">
        <v>0.36</v>
      </c>
      <c r="E56" s="12" t="s">
        <v>65</v>
      </c>
      <c r="F56" s="12">
        <v>7980</v>
      </c>
      <c r="G56" s="13">
        <f t="shared" si="0"/>
        <v>2872.7999999999997</v>
      </c>
    </row>
    <row r="57" spans="1:7" ht="23.4" x14ac:dyDescent="0.75">
      <c r="A57" s="12">
        <v>28</v>
      </c>
      <c r="B57" s="12" t="s">
        <v>36</v>
      </c>
      <c r="C57" s="12" t="s">
        <v>47</v>
      </c>
      <c r="D57" s="12">
        <v>0.72</v>
      </c>
      <c r="E57" s="12" t="s">
        <v>57</v>
      </c>
      <c r="F57" s="12">
        <v>2080</v>
      </c>
      <c r="G57" s="13">
        <f t="shared" si="0"/>
        <v>1497.6</v>
      </c>
    </row>
    <row r="58" spans="1:7" ht="23.4" x14ac:dyDescent="0.75">
      <c r="A58" s="12">
        <v>29</v>
      </c>
      <c r="B58" s="12" t="s">
        <v>37</v>
      </c>
      <c r="C58" s="12" t="s">
        <v>46</v>
      </c>
      <c r="D58" s="12">
        <v>0.36</v>
      </c>
      <c r="E58" s="12" t="s">
        <v>67</v>
      </c>
      <c r="F58" s="12">
        <v>2117</v>
      </c>
      <c r="G58" s="13">
        <f t="shared" si="0"/>
        <v>762.12</v>
      </c>
    </row>
    <row r="59" spans="1:7" ht="23.4" x14ac:dyDescent="0.75">
      <c r="A59" s="12">
        <v>29</v>
      </c>
      <c r="B59" s="12" t="s">
        <v>37</v>
      </c>
      <c r="C59" s="12" t="s">
        <v>47</v>
      </c>
      <c r="D59" s="12">
        <v>0.72</v>
      </c>
      <c r="E59" s="12" t="s">
        <v>65</v>
      </c>
      <c r="F59" s="12">
        <v>2231</v>
      </c>
      <c r="G59" s="13">
        <f t="shared" si="0"/>
        <v>1606.32</v>
      </c>
    </row>
    <row r="60" spans="1:7" ht="23.4" x14ac:dyDescent="0.75">
      <c r="A60" s="12">
        <v>30</v>
      </c>
      <c r="B60" s="12" t="s">
        <v>38</v>
      </c>
      <c r="C60" s="12" t="s">
        <v>46</v>
      </c>
      <c r="D60" s="12">
        <v>0.36</v>
      </c>
      <c r="E60" s="12" t="s">
        <v>67</v>
      </c>
      <c r="F60" s="12">
        <v>3025</v>
      </c>
      <c r="G60" s="13">
        <f t="shared" si="0"/>
        <v>1089</v>
      </c>
    </row>
    <row r="61" spans="1:7" ht="23.4" x14ac:dyDescent="0.75">
      <c r="A61" s="12">
        <v>30</v>
      </c>
      <c r="B61" s="12" t="s">
        <v>38</v>
      </c>
      <c r="C61" s="12" t="s">
        <v>47</v>
      </c>
      <c r="D61" s="12">
        <v>0.72</v>
      </c>
      <c r="E61" s="12" t="s">
        <v>65</v>
      </c>
      <c r="F61" s="12">
        <v>4273</v>
      </c>
      <c r="G61" s="13">
        <f t="shared" si="0"/>
        <v>3076.56</v>
      </c>
    </row>
    <row r="62" spans="1:7" x14ac:dyDescent="0.65">
      <c r="G62" s="8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921B-1EAC-405F-A2E9-6E9D8CB94E26}">
  <sheetPr>
    <tabColor theme="1" tint="0.249977111117893"/>
  </sheetPr>
  <dimension ref="A1:I31"/>
  <sheetViews>
    <sheetView rightToLeft="1" tabSelected="1" workbookViewId="0">
      <selection activeCell="C2" sqref="C2"/>
    </sheetView>
  </sheetViews>
  <sheetFormatPr defaultRowHeight="21.6" x14ac:dyDescent="0.65"/>
  <cols>
    <col min="1" max="1" width="5.3984375" style="5" customWidth="1"/>
    <col min="2" max="2" width="11.59765625" style="5" customWidth="1"/>
    <col min="3" max="3" width="12.796875" style="5" customWidth="1"/>
    <col min="4" max="4" width="14.796875" style="5" customWidth="1"/>
    <col min="5" max="5" width="8.19921875" style="5" customWidth="1"/>
    <col min="6" max="6" width="9.5" style="5" customWidth="1"/>
    <col min="7" max="7" width="8.59765625" style="5" customWidth="1"/>
    <col min="8" max="8" width="11.796875" style="5" customWidth="1"/>
    <col min="9" max="9" width="9.796875" style="5" customWidth="1"/>
    <col min="10" max="16384" width="8.796875" style="5"/>
  </cols>
  <sheetData>
    <row r="1" spans="1:9" ht="23.4" x14ac:dyDescent="0.75">
      <c r="A1" s="18" t="s">
        <v>40</v>
      </c>
      <c r="B1" s="18" t="s">
        <v>2</v>
      </c>
      <c r="C1" s="18" t="s">
        <v>103</v>
      </c>
      <c r="D1" s="18" t="s">
        <v>68</v>
      </c>
      <c r="E1" s="18" t="s">
        <v>69</v>
      </c>
      <c r="F1" s="18" t="s">
        <v>112</v>
      </c>
      <c r="G1" s="18" t="s">
        <v>71</v>
      </c>
      <c r="H1" s="18" t="s">
        <v>68</v>
      </c>
      <c r="I1" s="18" t="s">
        <v>69</v>
      </c>
    </row>
    <row r="2" spans="1:9" ht="23.4" x14ac:dyDescent="0.75">
      <c r="A2" s="12">
        <v>1</v>
      </c>
      <c r="B2" s="12" t="s">
        <v>73</v>
      </c>
      <c r="C2" s="12" t="s">
        <v>104</v>
      </c>
      <c r="D2" s="12">
        <v>5283</v>
      </c>
      <c r="E2" s="13">
        <f>AVERAGEIF(F:F,"آذر",D:D)</f>
        <v>1910.7666666666667</v>
      </c>
      <c r="F2" s="12" t="s">
        <v>39</v>
      </c>
      <c r="G2" s="12" t="s">
        <v>105</v>
      </c>
      <c r="H2" s="12">
        <v>4184</v>
      </c>
      <c r="I2" s="13">
        <f>AVERAGEIF(F:F,"آذر",H:H)</f>
        <v>3565.5666666666666</v>
      </c>
    </row>
    <row r="3" spans="1:9" ht="23.4" x14ac:dyDescent="0.75">
      <c r="A3" s="12">
        <v>2</v>
      </c>
      <c r="B3" s="12" t="s">
        <v>74</v>
      </c>
      <c r="C3" s="12" t="s">
        <v>104</v>
      </c>
      <c r="D3" s="12">
        <v>2833</v>
      </c>
      <c r="E3" s="13">
        <f t="shared" ref="E3:E31" si="0">AVERAGEIF(F:F,"آذر",D:D)</f>
        <v>1910.7666666666667</v>
      </c>
      <c r="F3" s="12" t="s">
        <v>39</v>
      </c>
      <c r="G3" s="12" t="s">
        <v>105</v>
      </c>
      <c r="H3" s="12">
        <v>2830</v>
      </c>
      <c r="I3" s="13">
        <f t="shared" ref="I3:I31" si="1">AVERAGEIF(F:F,"آذر",H:H)</f>
        <v>3565.5666666666666</v>
      </c>
    </row>
    <row r="4" spans="1:9" ht="23.4" x14ac:dyDescent="0.75">
      <c r="A4" s="12">
        <v>3</v>
      </c>
      <c r="B4" s="12" t="s">
        <v>75</v>
      </c>
      <c r="C4" s="12" t="s">
        <v>104</v>
      </c>
      <c r="D4" s="12">
        <v>1062</v>
      </c>
      <c r="E4" s="13">
        <f t="shared" si="0"/>
        <v>1910.7666666666667</v>
      </c>
      <c r="F4" s="12" t="s">
        <v>39</v>
      </c>
      <c r="G4" s="12" t="s">
        <v>105</v>
      </c>
      <c r="H4" s="12">
        <v>8428</v>
      </c>
      <c r="I4" s="13">
        <f t="shared" si="1"/>
        <v>3565.5666666666666</v>
      </c>
    </row>
    <row r="5" spans="1:9" ht="23.4" x14ac:dyDescent="0.75">
      <c r="A5" s="12">
        <v>4</v>
      </c>
      <c r="B5" s="12" t="s">
        <v>76</v>
      </c>
      <c r="C5" s="12" t="s">
        <v>104</v>
      </c>
      <c r="D5" s="12">
        <v>1277</v>
      </c>
      <c r="E5" s="13">
        <f t="shared" si="0"/>
        <v>1910.7666666666667</v>
      </c>
      <c r="F5" s="12" t="s">
        <v>39</v>
      </c>
      <c r="G5" s="12" t="s">
        <v>105</v>
      </c>
      <c r="H5" s="12">
        <v>4609</v>
      </c>
      <c r="I5" s="13">
        <f t="shared" si="1"/>
        <v>3565.5666666666666</v>
      </c>
    </row>
    <row r="6" spans="1:9" ht="23.4" x14ac:dyDescent="0.75">
      <c r="A6" s="12">
        <v>5</v>
      </c>
      <c r="B6" s="12" t="s">
        <v>77</v>
      </c>
      <c r="C6" s="12" t="s">
        <v>104</v>
      </c>
      <c r="D6" s="12">
        <v>3753</v>
      </c>
      <c r="E6" s="13">
        <f t="shared" si="0"/>
        <v>1910.7666666666667</v>
      </c>
      <c r="F6" s="12" t="s">
        <v>39</v>
      </c>
      <c r="G6" s="12" t="s">
        <v>105</v>
      </c>
      <c r="H6" s="12">
        <v>2995</v>
      </c>
      <c r="I6" s="13">
        <f t="shared" si="1"/>
        <v>3565.5666666666666</v>
      </c>
    </row>
    <row r="7" spans="1:9" ht="23.4" x14ac:dyDescent="0.75">
      <c r="A7" s="12">
        <v>6</v>
      </c>
      <c r="B7" s="12" t="s">
        <v>78</v>
      </c>
      <c r="C7" s="12" t="s">
        <v>104</v>
      </c>
      <c r="D7" s="12">
        <v>695</v>
      </c>
      <c r="E7" s="13">
        <f t="shared" si="0"/>
        <v>1910.7666666666667</v>
      </c>
      <c r="F7" s="12" t="s">
        <v>39</v>
      </c>
      <c r="G7" s="12" t="s">
        <v>105</v>
      </c>
      <c r="H7" s="12">
        <v>4493</v>
      </c>
      <c r="I7" s="13">
        <f t="shared" si="1"/>
        <v>3565.5666666666666</v>
      </c>
    </row>
    <row r="8" spans="1:9" ht="23.4" x14ac:dyDescent="0.75">
      <c r="A8" s="12">
        <v>7</v>
      </c>
      <c r="B8" s="12" t="s">
        <v>79</v>
      </c>
      <c r="C8" s="12" t="s">
        <v>104</v>
      </c>
      <c r="D8" s="12">
        <v>1634</v>
      </c>
      <c r="E8" s="13">
        <f t="shared" si="0"/>
        <v>1910.7666666666667</v>
      </c>
      <c r="F8" s="12" t="s">
        <v>39</v>
      </c>
      <c r="G8" s="12" t="s">
        <v>105</v>
      </c>
      <c r="H8" s="12">
        <v>5987</v>
      </c>
      <c r="I8" s="13">
        <f t="shared" si="1"/>
        <v>3565.5666666666666</v>
      </c>
    </row>
    <row r="9" spans="1:9" ht="23.4" x14ac:dyDescent="0.75">
      <c r="A9" s="12">
        <v>8</v>
      </c>
      <c r="B9" s="12" t="s">
        <v>80</v>
      </c>
      <c r="C9" s="12" t="s">
        <v>104</v>
      </c>
      <c r="D9" s="12">
        <v>2353</v>
      </c>
      <c r="E9" s="13">
        <f t="shared" si="0"/>
        <v>1910.7666666666667</v>
      </c>
      <c r="F9" s="12" t="s">
        <v>39</v>
      </c>
      <c r="G9" s="12" t="s">
        <v>105</v>
      </c>
      <c r="H9" s="12">
        <v>1557</v>
      </c>
      <c r="I9" s="13">
        <f t="shared" si="1"/>
        <v>3565.5666666666666</v>
      </c>
    </row>
    <row r="10" spans="1:9" ht="23.4" x14ac:dyDescent="0.75">
      <c r="A10" s="12">
        <v>9</v>
      </c>
      <c r="B10" s="12" t="s">
        <v>81</v>
      </c>
      <c r="C10" s="12" t="s">
        <v>104</v>
      </c>
      <c r="D10" s="12">
        <v>558</v>
      </c>
      <c r="E10" s="13">
        <f t="shared" si="0"/>
        <v>1910.7666666666667</v>
      </c>
      <c r="F10" s="12" t="s">
        <v>39</v>
      </c>
      <c r="G10" s="12" t="s">
        <v>105</v>
      </c>
      <c r="H10" s="12">
        <v>6263</v>
      </c>
      <c r="I10" s="13">
        <f t="shared" si="1"/>
        <v>3565.5666666666666</v>
      </c>
    </row>
    <row r="11" spans="1:9" ht="23.4" x14ac:dyDescent="0.75">
      <c r="A11" s="12">
        <v>10</v>
      </c>
      <c r="B11" s="12" t="s">
        <v>82</v>
      </c>
      <c r="C11" s="12" t="s">
        <v>104</v>
      </c>
      <c r="D11" s="12">
        <v>1720</v>
      </c>
      <c r="E11" s="13">
        <f t="shared" si="0"/>
        <v>1910.7666666666667</v>
      </c>
      <c r="F11" s="12" t="s">
        <v>39</v>
      </c>
      <c r="G11" s="12" t="s">
        <v>105</v>
      </c>
      <c r="H11" s="12">
        <v>1926</v>
      </c>
      <c r="I11" s="13">
        <f t="shared" si="1"/>
        <v>3565.5666666666666</v>
      </c>
    </row>
    <row r="12" spans="1:9" ht="23.4" x14ac:dyDescent="0.75">
      <c r="A12" s="12">
        <v>11</v>
      </c>
      <c r="B12" s="12" t="s">
        <v>83</v>
      </c>
      <c r="C12" s="12" t="s">
        <v>104</v>
      </c>
      <c r="D12" s="12">
        <v>846</v>
      </c>
      <c r="E12" s="13">
        <f t="shared" si="0"/>
        <v>1910.7666666666667</v>
      </c>
      <c r="F12" s="12" t="s">
        <v>39</v>
      </c>
      <c r="G12" s="12" t="s">
        <v>105</v>
      </c>
      <c r="H12" s="12">
        <v>1926</v>
      </c>
      <c r="I12" s="13">
        <f t="shared" si="1"/>
        <v>3565.5666666666666</v>
      </c>
    </row>
    <row r="13" spans="1:9" ht="23.4" x14ac:dyDescent="0.75">
      <c r="A13" s="12">
        <v>12</v>
      </c>
      <c r="B13" s="12" t="s">
        <v>84</v>
      </c>
      <c r="C13" s="12" t="s">
        <v>104</v>
      </c>
      <c r="D13" s="12">
        <v>839</v>
      </c>
      <c r="E13" s="13">
        <f t="shared" si="0"/>
        <v>1910.7666666666667</v>
      </c>
      <c r="F13" s="12" t="s">
        <v>39</v>
      </c>
      <c r="G13" s="12" t="s">
        <v>105</v>
      </c>
      <c r="H13" s="12">
        <v>2751</v>
      </c>
      <c r="I13" s="13">
        <f t="shared" si="1"/>
        <v>3565.5666666666666</v>
      </c>
    </row>
    <row r="14" spans="1:9" ht="23.4" x14ac:dyDescent="0.75">
      <c r="A14" s="12">
        <v>13</v>
      </c>
      <c r="B14" s="12" t="s">
        <v>85</v>
      </c>
      <c r="C14" s="12" t="s">
        <v>104</v>
      </c>
      <c r="D14" s="12">
        <v>2085</v>
      </c>
      <c r="E14" s="13">
        <f t="shared" si="0"/>
        <v>1910.7666666666667</v>
      </c>
      <c r="F14" s="12" t="s">
        <v>39</v>
      </c>
      <c r="G14" s="12" t="s">
        <v>105</v>
      </c>
      <c r="H14" s="12">
        <v>2919</v>
      </c>
      <c r="I14" s="13">
        <f t="shared" si="1"/>
        <v>3565.5666666666666</v>
      </c>
    </row>
    <row r="15" spans="1:9" ht="23.4" x14ac:dyDescent="0.75">
      <c r="A15" s="12">
        <v>14</v>
      </c>
      <c r="B15" s="12" t="s">
        <v>86</v>
      </c>
      <c r="C15" s="12" t="s">
        <v>104</v>
      </c>
      <c r="D15" s="12">
        <v>2154</v>
      </c>
      <c r="E15" s="13">
        <f t="shared" si="0"/>
        <v>1910.7666666666667</v>
      </c>
      <c r="F15" s="12" t="s">
        <v>39</v>
      </c>
      <c r="G15" s="12" t="s">
        <v>105</v>
      </c>
      <c r="H15" s="12">
        <v>3120</v>
      </c>
      <c r="I15" s="13">
        <f t="shared" si="1"/>
        <v>3565.5666666666666</v>
      </c>
    </row>
    <row r="16" spans="1:9" ht="23.4" x14ac:dyDescent="0.75">
      <c r="A16" s="12">
        <v>15</v>
      </c>
      <c r="B16" s="12" t="s">
        <v>87</v>
      </c>
      <c r="C16" s="12" t="s">
        <v>104</v>
      </c>
      <c r="D16" s="12">
        <v>1561</v>
      </c>
      <c r="E16" s="13">
        <f t="shared" si="0"/>
        <v>1910.7666666666667</v>
      </c>
      <c r="F16" s="12" t="s">
        <v>39</v>
      </c>
      <c r="G16" s="12" t="s">
        <v>105</v>
      </c>
      <c r="H16" s="12">
        <v>2988</v>
      </c>
      <c r="I16" s="13">
        <f t="shared" si="1"/>
        <v>3565.5666666666666</v>
      </c>
    </row>
    <row r="17" spans="1:9" ht="23.4" x14ac:dyDescent="0.75">
      <c r="A17" s="12">
        <v>16</v>
      </c>
      <c r="B17" s="12" t="s">
        <v>88</v>
      </c>
      <c r="C17" s="12" t="s">
        <v>104</v>
      </c>
      <c r="D17" s="12">
        <v>1598</v>
      </c>
      <c r="E17" s="13">
        <f t="shared" si="0"/>
        <v>1910.7666666666667</v>
      </c>
      <c r="F17" s="12" t="s">
        <v>39</v>
      </c>
      <c r="G17" s="12" t="s">
        <v>105</v>
      </c>
      <c r="H17" s="12">
        <v>1737</v>
      </c>
      <c r="I17" s="13">
        <f t="shared" si="1"/>
        <v>3565.5666666666666</v>
      </c>
    </row>
    <row r="18" spans="1:9" ht="23.4" x14ac:dyDescent="0.75">
      <c r="A18" s="12">
        <v>17</v>
      </c>
      <c r="B18" s="12" t="s">
        <v>89</v>
      </c>
      <c r="C18" s="12" t="s">
        <v>104</v>
      </c>
      <c r="D18" s="12">
        <v>1390</v>
      </c>
      <c r="E18" s="13">
        <f t="shared" si="0"/>
        <v>1910.7666666666667</v>
      </c>
      <c r="F18" s="12" t="s">
        <v>39</v>
      </c>
      <c r="G18" s="12" t="s">
        <v>105</v>
      </c>
      <c r="H18" s="12">
        <v>3127</v>
      </c>
      <c r="I18" s="13">
        <f t="shared" si="1"/>
        <v>3565.5666666666666</v>
      </c>
    </row>
    <row r="19" spans="1:9" ht="23.4" x14ac:dyDescent="0.75">
      <c r="A19" s="12">
        <v>18</v>
      </c>
      <c r="B19" s="12" t="s">
        <v>90</v>
      </c>
      <c r="C19" s="12" t="s">
        <v>104</v>
      </c>
      <c r="D19" s="12">
        <v>1460</v>
      </c>
      <c r="E19" s="13">
        <f t="shared" si="0"/>
        <v>1910.7666666666667</v>
      </c>
      <c r="F19" s="12" t="s">
        <v>39</v>
      </c>
      <c r="G19" s="12" t="s">
        <v>105</v>
      </c>
      <c r="H19" s="12">
        <v>3058</v>
      </c>
      <c r="I19" s="13">
        <f t="shared" si="1"/>
        <v>3565.5666666666666</v>
      </c>
    </row>
    <row r="20" spans="1:9" ht="23.4" x14ac:dyDescent="0.75">
      <c r="A20" s="12">
        <v>19</v>
      </c>
      <c r="B20" s="12" t="s">
        <v>91</v>
      </c>
      <c r="C20" s="12" t="s">
        <v>104</v>
      </c>
      <c r="D20" s="12">
        <v>1549</v>
      </c>
      <c r="E20" s="13">
        <f t="shared" si="0"/>
        <v>1910.7666666666667</v>
      </c>
      <c r="F20" s="12" t="s">
        <v>39</v>
      </c>
      <c r="G20" s="12" t="s">
        <v>105</v>
      </c>
      <c r="H20" s="12">
        <v>4437</v>
      </c>
      <c r="I20" s="13">
        <f t="shared" si="1"/>
        <v>3565.5666666666666</v>
      </c>
    </row>
    <row r="21" spans="1:9" ht="23.4" x14ac:dyDescent="0.75">
      <c r="A21" s="12">
        <v>20</v>
      </c>
      <c r="B21" s="12" t="s">
        <v>92</v>
      </c>
      <c r="C21" s="12" t="s">
        <v>104</v>
      </c>
      <c r="D21" s="12">
        <v>4031</v>
      </c>
      <c r="E21" s="13">
        <f t="shared" si="0"/>
        <v>1910.7666666666667</v>
      </c>
      <c r="F21" s="12" t="s">
        <v>39</v>
      </c>
      <c r="G21" s="12" t="s">
        <v>105</v>
      </c>
      <c r="H21" s="12">
        <v>7625</v>
      </c>
      <c r="I21" s="13">
        <f t="shared" si="1"/>
        <v>3565.5666666666666</v>
      </c>
    </row>
    <row r="22" spans="1:9" ht="23.4" x14ac:dyDescent="0.75">
      <c r="A22" s="12">
        <v>21</v>
      </c>
      <c r="B22" s="12" t="s">
        <v>93</v>
      </c>
      <c r="C22" s="12" t="s">
        <v>104</v>
      </c>
      <c r="D22" s="12">
        <v>4085</v>
      </c>
      <c r="E22" s="13">
        <f t="shared" si="0"/>
        <v>1910.7666666666667</v>
      </c>
      <c r="F22" s="12" t="s">
        <v>39</v>
      </c>
      <c r="G22" s="12" t="s">
        <v>105</v>
      </c>
      <c r="H22" s="12">
        <v>1634</v>
      </c>
      <c r="I22" s="13">
        <f t="shared" si="1"/>
        <v>3565.5666666666666</v>
      </c>
    </row>
    <row r="23" spans="1:9" ht="23.4" x14ac:dyDescent="0.75">
      <c r="A23" s="12">
        <v>22</v>
      </c>
      <c r="B23" s="12" t="s">
        <v>94</v>
      </c>
      <c r="C23" s="12" t="s">
        <v>104</v>
      </c>
      <c r="D23" s="12">
        <v>885</v>
      </c>
      <c r="E23" s="13">
        <f t="shared" si="0"/>
        <v>1910.7666666666667</v>
      </c>
      <c r="F23" s="12" t="s">
        <v>39</v>
      </c>
      <c r="G23" s="12" t="s">
        <v>105</v>
      </c>
      <c r="H23" s="12">
        <v>2423</v>
      </c>
      <c r="I23" s="13">
        <f t="shared" si="1"/>
        <v>3565.5666666666666</v>
      </c>
    </row>
    <row r="24" spans="1:9" ht="23.4" x14ac:dyDescent="0.75">
      <c r="A24" s="12">
        <v>23</v>
      </c>
      <c r="B24" s="12" t="s">
        <v>95</v>
      </c>
      <c r="C24" s="12" t="s">
        <v>104</v>
      </c>
      <c r="D24" s="12">
        <v>1184</v>
      </c>
      <c r="E24" s="13">
        <f t="shared" si="0"/>
        <v>1910.7666666666667</v>
      </c>
      <c r="F24" s="12" t="s">
        <v>39</v>
      </c>
      <c r="G24" s="12" t="s">
        <v>105</v>
      </c>
      <c r="H24" s="12">
        <v>2069</v>
      </c>
      <c r="I24" s="13">
        <f t="shared" si="1"/>
        <v>3565.5666666666666</v>
      </c>
    </row>
    <row r="25" spans="1:9" ht="23.4" x14ac:dyDescent="0.75">
      <c r="A25" s="12">
        <v>24</v>
      </c>
      <c r="B25" s="12" t="s">
        <v>96</v>
      </c>
      <c r="C25" s="12" t="s">
        <v>104</v>
      </c>
      <c r="D25" s="12">
        <v>1365</v>
      </c>
      <c r="E25" s="13">
        <f t="shared" si="0"/>
        <v>1910.7666666666667</v>
      </c>
      <c r="F25" s="12" t="s">
        <v>39</v>
      </c>
      <c r="G25" s="12" t="s">
        <v>105</v>
      </c>
      <c r="H25" s="12">
        <v>3267</v>
      </c>
      <c r="I25" s="13">
        <f t="shared" si="1"/>
        <v>3565.5666666666666</v>
      </c>
    </row>
    <row r="26" spans="1:9" ht="23.4" x14ac:dyDescent="0.75">
      <c r="A26" s="12">
        <v>25</v>
      </c>
      <c r="B26" s="12" t="s">
        <v>97</v>
      </c>
      <c r="C26" s="12" t="s">
        <v>104</v>
      </c>
      <c r="D26" s="12">
        <v>1702</v>
      </c>
      <c r="E26" s="13">
        <f t="shared" si="0"/>
        <v>1910.7666666666667</v>
      </c>
      <c r="F26" s="12" t="s">
        <v>39</v>
      </c>
      <c r="G26" s="12" t="s">
        <v>105</v>
      </c>
      <c r="H26" s="12">
        <v>4221</v>
      </c>
      <c r="I26" s="13">
        <f t="shared" si="1"/>
        <v>3565.5666666666666</v>
      </c>
    </row>
    <row r="27" spans="1:9" ht="23.4" x14ac:dyDescent="0.75">
      <c r="A27" s="12">
        <v>26</v>
      </c>
      <c r="B27" s="12" t="s">
        <v>98</v>
      </c>
      <c r="C27" s="12" t="s">
        <v>104</v>
      </c>
      <c r="D27" s="12">
        <v>2246</v>
      </c>
      <c r="E27" s="13">
        <f t="shared" si="0"/>
        <v>1910.7666666666667</v>
      </c>
      <c r="F27" s="12" t="s">
        <v>39</v>
      </c>
      <c r="G27" s="12" t="s">
        <v>105</v>
      </c>
      <c r="H27" s="12">
        <v>4766</v>
      </c>
      <c r="I27" s="13">
        <f t="shared" si="1"/>
        <v>3565.5666666666666</v>
      </c>
    </row>
    <row r="28" spans="1:9" ht="23.4" x14ac:dyDescent="0.75">
      <c r="A28" s="12">
        <v>27</v>
      </c>
      <c r="B28" s="12" t="s">
        <v>99</v>
      </c>
      <c r="C28" s="12" t="s">
        <v>104</v>
      </c>
      <c r="D28" s="12">
        <v>2451</v>
      </c>
      <c r="E28" s="13">
        <f t="shared" si="0"/>
        <v>1910.7666666666667</v>
      </c>
      <c r="F28" s="12" t="s">
        <v>39</v>
      </c>
      <c r="G28" s="12" t="s">
        <v>105</v>
      </c>
      <c r="H28" s="12">
        <v>5446</v>
      </c>
      <c r="I28" s="13">
        <f t="shared" si="1"/>
        <v>3565.5666666666666</v>
      </c>
    </row>
    <row r="29" spans="1:9" ht="23.4" x14ac:dyDescent="0.75">
      <c r="A29" s="12">
        <v>28</v>
      </c>
      <c r="B29" s="12" t="s">
        <v>100</v>
      </c>
      <c r="C29" s="12" t="s">
        <v>104</v>
      </c>
      <c r="D29" s="12">
        <v>2873</v>
      </c>
      <c r="E29" s="13">
        <f t="shared" si="0"/>
        <v>1910.7666666666667</v>
      </c>
      <c r="F29" s="12" t="s">
        <v>39</v>
      </c>
      <c r="G29" s="12" t="s">
        <v>105</v>
      </c>
      <c r="H29" s="12">
        <v>1498</v>
      </c>
      <c r="I29" s="13">
        <f t="shared" si="1"/>
        <v>3565.5666666666666</v>
      </c>
    </row>
    <row r="30" spans="1:9" ht="23.4" x14ac:dyDescent="0.75">
      <c r="A30" s="12">
        <v>29</v>
      </c>
      <c r="B30" s="12" t="s">
        <v>101</v>
      </c>
      <c r="C30" s="12" t="s">
        <v>104</v>
      </c>
      <c r="D30" s="12">
        <v>762</v>
      </c>
      <c r="E30" s="13">
        <f t="shared" si="0"/>
        <v>1910.7666666666667</v>
      </c>
      <c r="F30" s="12" t="s">
        <v>39</v>
      </c>
      <c r="G30" s="12" t="s">
        <v>105</v>
      </c>
      <c r="H30" s="12">
        <v>1606</v>
      </c>
      <c r="I30" s="13">
        <f t="shared" si="1"/>
        <v>3565.5666666666666</v>
      </c>
    </row>
    <row r="31" spans="1:9" ht="23.4" x14ac:dyDescent="0.75">
      <c r="A31" s="12">
        <v>30</v>
      </c>
      <c r="B31" s="12" t="s">
        <v>102</v>
      </c>
      <c r="C31" s="12" t="s">
        <v>46</v>
      </c>
      <c r="D31" s="12">
        <v>1089</v>
      </c>
      <c r="E31" s="13">
        <f t="shared" si="0"/>
        <v>1910.7666666666667</v>
      </c>
      <c r="F31" s="12" t="s">
        <v>39</v>
      </c>
      <c r="G31" s="12" t="s">
        <v>105</v>
      </c>
      <c r="H31" s="12">
        <v>3077</v>
      </c>
      <c r="I31" s="13">
        <f t="shared" si="1"/>
        <v>3565.5666666666666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7C89-B193-40DA-97D4-79CE7E31976F}">
  <sheetPr filterMode="1">
    <tabColor rgb="FF00B0F0"/>
  </sheetPr>
  <dimension ref="A1:AH86"/>
  <sheetViews>
    <sheetView rightToLeft="1" topLeftCell="A33" workbookViewId="0">
      <selection activeCell="I61" sqref="I61"/>
    </sheetView>
  </sheetViews>
  <sheetFormatPr defaultRowHeight="13.8" x14ac:dyDescent="0.25"/>
  <cols>
    <col min="2" max="2" width="11.5" customWidth="1"/>
    <col min="3" max="3" width="11" customWidth="1"/>
    <col min="4" max="4" width="11.296875" style="38" customWidth="1"/>
    <col min="9" max="9" width="10.796875" customWidth="1"/>
    <col min="10" max="10" width="15.09765625" customWidth="1"/>
    <col min="12" max="12" width="11" customWidth="1"/>
  </cols>
  <sheetData>
    <row r="1" spans="1:34" ht="21.6" customHeight="1" x14ac:dyDescent="0.75">
      <c r="A1" s="19" t="s">
        <v>40</v>
      </c>
      <c r="B1" s="19" t="s">
        <v>106</v>
      </c>
      <c r="C1" s="19" t="s">
        <v>109</v>
      </c>
      <c r="D1" s="36" t="s">
        <v>107</v>
      </c>
      <c r="E1" s="19" t="s">
        <v>116</v>
      </c>
      <c r="F1" s="19" t="s">
        <v>117</v>
      </c>
      <c r="G1" s="19" t="s">
        <v>118</v>
      </c>
      <c r="H1" s="19" t="s">
        <v>119</v>
      </c>
      <c r="I1" s="19" t="s">
        <v>120</v>
      </c>
      <c r="J1" s="19" t="s">
        <v>121</v>
      </c>
      <c r="K1" s="19" t="s">
        <v>122</v>
      </c>
      <c r="L1" s="19" t="s">
        <v>114</v>
      </c>
      <c r="M1" s="5"/>
      <c r="N1" s="5"/>
      <c r="O1" s="5"/>
      <c r="P1" s="5"/>
      <c r="Q1" s="5"/>
      <c r="R1" s="5"/>
      <c r="S1" s="5"/>
      <c r="T1" s="5"/>
      <c r="U1" s="5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3.4" hidden="1" x14ac:dyDescent="0.75">
      <c r="A2" s="12">
        <v>1</v>
      </c>
      <c r="B2" s="34" t="s">
        <v>5</v>
      </c>
      <c r="C2" s="12"/>
      <c r="D2" s="32" t="s">
        <v>46</v>
      </c>
      <c r="E2" s="12"/>
      <c r="F2" s="12"/>
      <c r="G2" s="12"/>
      <c r="H2" s="12"/>
      <c r="I2" s="12"/>
      <c r="J2" s="12"/>
      <c r="K2" s="12"/>
      <c r="L2" s="12">
        <f>SUM(E2:K2)</f>
        <v>0</v>
      </c>
      <c r="M2" s="5"/>
      <c r="N2" s="5"/>
      <c r="O2" s="5"/>
      <c r="P2" s="5"/>
      <c r="Q2" s="5"/>
      <c r="R2" s="5"/>
      <c r="S2" s="5"/>
      <c r="T2" s="5"/>
      <c r="U2" s="5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23.4" x14ac:dyDescent="0.75">
      <c r="A3" s="12">
        <v>1</v>
      </c>
      <c r="B3" s="34" t="s">
        <v>5</v>
      </c>
      <c r="C3" s="12"/>
      <c r="D3" s="32" t="s">
        <v>47</v>
      </c>
      <c r="E3" s="12"/>
      <c r="F3" s="12"/>
      <c r="G3" s="12"/>
      <c r="H3" s="12"/>
      <c r="I3" s="12"/>
      <c r="J3" s="12"/>
      <c r="K3" s="12"/>
      <c r="L3" s="12">
        <f>SUM(E3:K3)</f>
        <v>0</v>
      </c>
      <c r="M3" s="5"/>
      <c r="N3" s="5"/>
      <c r="O3" s="5"/>
      <c r="P3" s="5"/>
      <c r="Q3" s="5"/>
      <c r="R3" s="5"/>
      <c r="S3" s="5"/>
      <c r="T3" s="5"/>
      <c r="U3" s="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3.4" hidden="1" x14ac:dyDescent="0.75">
      <c r="A4" s="12">
        <v>2</v>
      </c>
      <c r="B4" s="34" t="s">
        <v>6</v>
      </c>
      <c r="C4" s="12" t="s">
        <v>49</v>
      </c>
      <c r="D4" s="32" t="s">
        <v>46</v>
      </c>
      <c r="E4" s="12">
        <v>3433</v>
      </c>
      <c r="F4" s="12">
        <v>1320</v>
      </c>
      <c r="G4" s="12">
        <v>316</v>
      </c>
      <c r="H4" s="12">
        <v>105</v>
      </c>
      <c r="I4" s="12">
        <v>52</v>
      </c>
      <c r="J4" s="12">
        <v>26</v>
      </c>
      <c r="K4" s="12">
        <v>26</v>
      </c>
      <c r="L4" s="12">
        <f>SUM(E4:K4)</f>
        <v>5278</v>
      </c>
      <c r="M4" s="5"/>
      <c r="N4" s="5"/>
      <c r="O4" s="5"/>
      <c r="P4" s="5"/>
      <c r="Q4" s="5"/>
      <c r="R4" s="5"/>
      <c r="S4" s="5"/>
      <c r="T4" s="5"/>
      <c r="U4" s="5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23.4" x14ac:dyDescent="0.75">
      <c r="A5" s="12">
        <v>2</v>
      </c>
      <c r="B5" s="34" t="s">
        <v>6</v>
      </c>
      <c r="C5" s="12" t="s">
        <v>50</v>
      </c>
      <c r="D5" s="32" t="s">
        <v>47</v>
      </c>
      <c r="E5" s="12">
        <v>2510</v>
      </c>
      <c r="F5" s="12">
        <v>1046</v>
      </c>
      <c r="G5" s="12">
        <v>334</v>
      </c>
      <c r="H5" s="12">
        <v>167</v>
      </c>
      <c r="I5" s="12">
        <v>41</v>
      </c>
      <c r="J5" s="12">
        <v>41</v>
      </c>
      <c r="K5" s="12">
        <v>41</v>
      </c>
      <c r="L5" s="12">
        <f>SUM(E5:K5)</f>
        <v>4180</v>
      </c>
      <c r="M5" s="5"/>
      <c r="N5" s="5"/>
      <c r="O5" s="5"/>
      <c r="P5" s="5"/>
      <c r="Q5" s="5"/>
      <c r="R5" s="5"/>
      <c r="S5" s="5"/>
      <c r="T5" s="5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3.4" hidden="1" x14ac:dyDescent="0.75">
      <c r="A6" s="12">
        <v>3</v>
      </c>
      <c r="B6" s="34" t="s">
        <v>11</v>
      </c>
      <c r="C6" s="12" t="s">
        <v>51</v>
      </c>
      <c r="D6" s="32" t="s">
        <v>46</v>
      </c>
      <c r="E6" s="12">
        <v>2124</v>
      </c>
      <c r="F6" s="12">
        <v>424</v>
      </c>
      <c r="G6" s="12">
        <v>169</v>
      </c>
      <c r="H6" s="12">
        <v>56</v>
      </c>
      <c r="I6" s="12">
        <v>28</v>
      </c>
      <c r="J6" s="12">
        <v>14</v>
      </c>
      <c r="K6" s="12">
        <v>14</v>
      </c>
      <c r="L6" s="12">
        <f>SUM(E6:K6)</f>
        <v>2829</v>
      </c>
      <c r="M6" s="5"/>
      <c r="N6" s="5"/>
      <c r="O6" s="5"/>
      <c r="P6" s="5"/>
      <c r="Q6" s="5"/>
      <c r="R6" s="5"/>
      <c r="S6" s="5"/>
      <c r="T6" s="5"/>
      <c r="U6" s="5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3.4" x14ac:dyDescent="0.75">
      <c r="A7" s="12">
        <v>3</v>
      </c>
      <c r="B7" s="34" t="s">
        <v>11</v>
      </c>
      <c r="C7" s="12" t="s">
        <v>52</v>
      </c>
      <c r="D7" s="32" t="s">
        <v>47</v>
      </c>
      <c r="E7" s="12">
        <v>1839</v>
      </c>
      <c r="F7" s="12">
        <v>707</v>
      </c>
      <c r="G7" s="12">
        <v>169</v>
      </c>
      <c r="H7" s="12">
        <v>56</v>
      </c>
      <c r="I7" s="12">
        <v>28</v>
      </c>
      <c r="J7" s="12">
        <v>15</v>
      </c>
      <c r="K7" s="12">
        <v>15</v>
      </c>
      <c r="L7" s="12">
        <f>SUM(E7:K7)</f>
        <v>2829</v>
      </c>
      <c r="M7" s="5"/>
      <c r="N7" s="5"/>
      <c r="O7" s="5"/>
      <c r="P7" s="5"/>
      <c r="Q7" s="5"/>
      <c r="R7" s="5"/>
      <c r="S7" s="5"/>
      <c r="T7" s="5"/>
      <c r="U7" s="5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3.4" hidden="1" x14ac:dyDescent="0.75">
      <c r="A8" s="12">
        <v>4</v>
      </c>
      <c r="B8" s="34" t="s">
        <v>12</v>
      </c>
      <c r="C8" s="12" t="s">
        <v>51</v>
      </c>
      <c r="D8" s="32" t="s">
        <v>46</v>
      </c>
      <c r="E8" s="12">
        <v>637</v>
      </c>
      <c r="F8" s="12">
        <v>266</v>
      </c>
      <c r="G8" s="12">
        <v>84</v>
      </c>
      <c r="H8" s="12">
        <v>42</v>
      </c>
      <c r="I8" s="12">
        <v>10</v>
      </c>
      <c r="J8" s="12">
        <v>10</v>
      </c>
      <c r="K8" s="12">
        <v>10</v>
      </c>
      <c r="L8" s="12">
        <f>SUM(E8:K8)</f>
        <v>1059</v>
      </c>
      <c r="M8" s="5"/>
      <c r="N8" s="5"/>
      <c r="O8" s="5"/>
      <c r="P8" s="5"/>
      <c r="Q8" s="5"/>
      <c r="R8" s="5"/>
      <c r="S8" s="5"/>
      <c r="T8" s="5"/>
      <c r="U8" s="5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23.4" x14ac:dyDescent="0.75">
      <c r="A9" s="12">
        <v>4</v>
      </c>
      <c r="B9" s="34" t="s">
        <v>12</v>
      </c>
      <c r="C9" s="12" t="s">
        <v>49</v>
      </c>
      <c r="D9" s="32" t="s">
        <v>47</v>
      </c>
      <c r="E9" s="12">
        <v>5478</v>
      </c>
      <c r="F9" s="12">
        <v>2107</v>
      </c>
      <c r="G9" s="12">
        <v>505</v>
      </c>
      <c r="H9" s="12">
        <v>168</v>
      </c>
      <c r="I9" s="12">
        <v>84</v>
      </c>
      <c r="J9" s="12">
        <v>42</v>
      </c>
      <c r="K9" s="12">
        <v>42</v>
      </c>
      <c r="L9" s="12">
        <f>SUM(E9:K9)</f>
        <v>8426</v>
      </c>
      <c r="M9" s="5"/>
      <c r="N9" s="5"/>
      <c r="O9" s="5"/>
      <c r="P9" s="5"/>
      <c r="Q9" s="5"/>
      <c r="R9" s="5"/>
      <c r="S9" s="5"/>
      <c r="T9" s="5"/>
      <c r="U9" s="5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3.4" hidden="1" x14ac:dyDescent="0.75">
      <c r="A10" s="12">
        <v>5</v>
      </c>
      <c r="B10" s="34" t="s">
        <v>13</v>
      </c>
      <c r="C10" s="12" t="s">
        <v>53</v>
      </c>
      <c r="D10" s="32" t="s">
        <v>46</v>
      </c>
      <c r="E10" s="12">
        <v>766</v>
      </c>
      <c r="F10" s="12">
        <v>319</v>
      </c>
      <c r="G10" s="12">
        <v>102</v>
      </c>
      <c r="H10" s="12">
        <v>51</v>
      </c>
      <c r="I10" s="12">
        <v>12</v>
      </c>
      <c r="J10" s="12">
        <v>12</v>
      </c>
      <c r="K10" s="12">
        <v>12</v>
      </c>
      <c r="L10" s="12">
        <f>SUM(E10:K10)</f>
        <v>1274</v>
      </c>
      <c r="M10" s="5"/>
      <c r="N10" s="5"/>
      <c r="O10" s="5"/>
      <c r="P10" s="5"/>
      <c r="Q10" s="5"/>
      <c r="R10" s="5"/>
      <c r="S10" s="5"/>
      <c r="T10" s="5"/>
      <c r="U10" s="5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23.4" x14ac:dyDescent="0.75">
      <c r="A11" s="12">
        <v>5</v>
      </c>
      <c r="B11" s="34" t="s">
        <v>13</v>
      </c>
      <c r="C11" s="12" t="s">
        <v>54</v>
      </c>
      <c r="D11" s="32" t="s">
        <v>47</v>
      </c>
      <c r="E11" s="12">
        <v>2765</v>
      </c>
      <c r="F11" s="12">
        <v>1152</v>
      </c>
      <c r="G11" s="12">
        <v>368</v>
      </c>
      <c r="H11" s="12">
        <v>184</v>
      </c>
      <c r="I11" s="12">
        <v>46</v>
      </c>
      <c r="J11" s="12">
        <v>46</v>
      </c>
      <c r="K11" s="12">
        <v>46</v>
      </c>
      <c r="L11" s="12">
        <f>SUM(E11:K11)</f>
        <v>4607</v>
      </c>
      <c r="M11" s="5"/>
      <c r="N11" s="5"/>
      <c r="O11" s="5"/>
      <c r="P11" s="5"/>
      <c r="Q11" s="5"/>
      <c r="R11" s="5"/>
      <c r="S11" s="5"/>
      <c r="T11" s="5"/>
      <c r="U11" s="5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3.4" hidden="1" x14ac:dyDescent="0.75">
      <c r="A12" s="12">
        <v>6</v>
      </c>
      <c r="B12" s="34" t="s">
        <v>124</v>
      </c>
      <c r="C12" s="12" t="s">
        <v>49</v>
      </c>
      <c r="D12" s="32" t="s">
        <v>46</v>
      </c>
      <c r="E12" s="12">
        <v>2251</v>
      </c>
      <c r="F12" s="12">
        <v>938</v>
      </c>
      <c r="G12" s="12">
        <v>300</v>
      </c>
      <c r="H12" s="12">
        <v>150</v>
      </c>
      <c r="I12" s="12">
        <v>37</v>
      </c>
      <c r="J12" s="12">
        <v>37</v>
      </c>
      <c r="K12" s="12">
        <v>37</v>
      </c>
      <c r="L12" s="12">
        <f>SUM(E12:K12)</f>
        <v>3750</v>
      </c>
      <c r="M12" s="5"/>
      <c r="N12" s="5"/>
      <c r="O12" s="5"/>
      <c r="P12" s="5"/>
      <c r="Q12" s="5"/>
      <c r="R12" s="5"/>
      <c r="S12" s="5"/>
      <c r="T12" s="5"/>
      <c r="U12" s="5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23.4" x14ac:dyDescent="0.75">
      <c r="A13" s="12">
        <v>6</v>
      </c>
      <c r="B13" s="34" t="s">
        <v>124</v>
      </c>
      <c r="C13" s="12" t="s">
        <v>50</v>
      </c>
      <c r="D13" s="32" t="s">
        <v>47</v>
      </c>
      <c r="E13" s="12">
        <v>1946</v>
      </c>
      <c r="F13" s="12">
        <v>748</v>
      </c>
      <c r="G13" s="12">
        <v>179</v>
      </c>
      <c r="H13" s="12">
        <v>60</v>
      </c>
      <c r="I13" s="12">
        <v>29</v>
      </c>
      <c r="J13" s="12">
        <v>15</v>
      </c>
      <c r="K13" s="12">
        <v>15</v>
      </c>
      <c r="L13" s="12">
        <f>SUM(E13:K13)</f>
        <v>2992</v>
      </c>
      <c r="M13" s="5"/>
      <c r="N13" s="5"/>
      <c r="O13" s="5"/>
      <c r="P13" s="5"/>
      <c r="Q13" s="5"/>
      <c r="R13" s="5"/>
      <c r="S13" s="5"/>
      <c r="T13" s="5"/>
      <c r="U13" s="5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23.4" hidden="1" x14ac:dyDescent="0.75">
      <c r="A14" s="12">
        <v>7</v>
      </c>
      <c r="B14" s="34" t="s">
        <v>125</v>
      </c>
      <c r="C14" s="12" t="s">
        <v>52</v>
      </c>
      <c r="D14" s="32" t="s">
        <v>46</v>
      </c>
      <c r="E14" s="12">
        <v>451</v>
      </c>
      <c r="F14" s="12">
        <v>173</v>
      </c>
      <c r="G14" s="12">
        <v>41</v>
      </c>
      <c r="H14" s="12">
        <v>13</v>
      </c>
      <c r="I14" s="12">
        <v>6</v>
      </c>
      <c r="J14" s="12">
        <v>6</v>
      </c>
      <c r="K14" s="12">
        <v>3</v>
      </c>
      <c r="L14" s="12">
        <f>SUM(E14:K14)</f>
        <v>693</v>
      </c>
      <c r="M14" s="5"/>
      <c r="N14" s="5"/>
      <c r="O14" s="5"/>
      <c r="P14" s="5"/>
      <c r="Q14" s="5"/>
      <c r="R14" s="5"/>
      <c r="S14" s="5"/>
      <c r="T14" s="5"/>
      <c r="U14" s="5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23.4" x14ac:dyDescent="0.75">
      <c r="A15" s="12">
        <v>7</v>
      </c>
      <c r="B15" s="34" t="s">
        <v>125</v>
      </c>
      <c r="C15" s="12" t="s">
        <v>55</v>
      </c>
      <c r="D15" s="32" t="s">
        <v>47</v>
      </c>
      <c r="E15" s="12">
        <v>2995</v>
      </c>
      <c r="F15" s="12">
        <v>1248</v>
      </c>
      <c r="G15" s="12">
        <v>399</v>
      </c>
      <c r="H15" s="12">
        <v>199</v>
      </c>
      <c r="I15" s="12">
        <v>49</v>
      </c>
      <c r="J15" s="12">
        <v>49</v>
      </c>
      <c r="K15" s="12">
        <v>49</v>
      </c>
      <c r="L15" s="12">
        <f>SUM(E15:K15)</f>
        <v>4988</v>
      </c>
      <c r="M15" s="5"/>
      <c r="N15" s="5"/>
      <c r="O15" s="5"/>
      <c r="P15" s="5"/>
      <c r="Q15" s="5"/>
      <c r="R15" s="5"/>
      <c r="S15" s="5"/>
      <c r="T15" s="5"/>
      <c r="U15" s="5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3.4" hidden="1" x14ac:dyDescent="0.75">
      <c r="A16" s="12">
        <v>8</v>
      </c>
      <c r="B16" s="34" t="s">
        <v>126</v>
      </c>
      <c r="C16" s="12" t="s">
        <v>51</v>
      </c>
      <c r="D16" s="32" t="s">
        <v>46</v>
      </c>
      <c r="E16" s="12">
        <v>1062</v>
      </c>
      <c r="F16" s="12">
        <v>408</v>
      </c>
      <c r="G16" s="12">
        <v>98</v>
      </c>
      <c r="H16" s="12">
        <v>32</v>
      </c>
      <c r="I16" s="12">
        <v>16</v>
      </c>
      <c r="J16" s="12">
        <v>8</v>
      </c>
      <c r="K16" s="12">
        <v>8</v>
      </c>
      <c r="L16" s="12">
        <f>SUM(E16:K16)</f>
        <v>1632</v>
      </c>
      <c r="M16" s="5"/>
      <c r="N16" s="5"/>
      <c r="O16" s="5"/>
      <c r="P16" s="5"/>
      <c r="Q16" s="5"/>
      <c r="R16" s="5"/>
      <c r="S16" s="5"/>
      <c r="T16" s="5"/>
      <c r="U16" s="5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23.4" x14ac:dyDescent="0.75">
      <c r="A17" s="12">
        <v>8</v>
      </c>
      <c r="B17" s="34" t="s">
        <v>126</v>
      </c>
      <c r="C17" s="12" t="s">
        <v>55</v>
      </c>
      <c r="D17" s="32" t="s">
        <v>47</v>
      </c>
      <c r="E17" s="12">
        <v>4490</v>
      </c>
      <c r="F17" s="12">
        <v>898</v>
      </c>
      <c r="G17" s="12">
        <v>359</v>
      </c>
      <c r="H17" s="12">
        <v>119</v>
      </c>
      <c r="I17" s="12">
        <v>59</v>
      </c>
      <c r="J17" s="12">
        <v>29</v>
      </c>
      <c r="K17" s="12">
        <v>29</v>
      </c>
      <c r="L17" s="12">
        <f>SUM(E17:K17)</f>
        <v>5983</v>
      </c>
      <c r="M17" s="5"/>
      <c r="N17" s="5"/>
      <c r="O17" s="5"/>
      <c r="P17" s="5"/>
      <c r="Q17" s="5"/>
      <c r="R17" s="5"/>
      <c r="S17" s="5"/>
      <c r="T17" s="5"/>
      <c r="U17" s="5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3.4" hidden="1" x14ac:dyDescent="0.75">
      <c r="A18" s="12">
        <v>9</v>
      </c>
      <c r="B18" s="34" t="s">
        <v>127</v>
      </c>
      <c r="C18" s="12" t="s">
        <v>54</v>
      </c>
      <c r="D18" s="32" t="s">
        <v>46</v>
      </c>
      <c r="E18" s="12">
        <v>1411</v>
      </c>
      <c r="F18" s="12">
        <v>588</v>
      </c>
      <c r="G18" s="12">
        <v>188</v>
      </c>
      <c r="H18" s="12">
        <v>94</v>
      </c>
      <c r="I18" s="12">
        <v>23</v>
      </c>
      <c r="J18" s="12">
        <v>23</v>
      </c>
      <c r="K18" s="12">
        <v>23</v>
      </c>
      <c r="L18" s="12">
        <f>SUM(E18:K18)</f>
        <v>2350</v>
      </c>
      <c r="M18" s="5"/>
      <c r="N18" s="5"/>
      <c r="O18" s="5"/>
      <c r="P18" s="5"/>
      <c r="Q18" s="5"/>
      <c r="R18" s="5"/>
      <c r="S18" s="5"/>
      <c r="T18" s="5"/>
      <c r="U18" s="5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23.4" x14ac:dyDescent="0.75">
      <c r="A19" s="12">
        <v>9</v>
      </c>
      <c r="B19" s="34" t="s">
        <v>127</v>
      </c>
      <c r="C19" s="12" t="s">
        <v>52</v>
      </c>
      <c r="D19" s="32" t="s">
        <v>47</v>
      </c>
      <c r="E19" s="12">
        <v>934</v>
      </c>
      <c r="F19" s="12">
        <v>389</v>
      </c>
      <c r="G19" s="12">
        <v>124</v>
      </c>
      <c r="H19" s="12">
        <v>62</v>
      </c>
      <c r="I19" s="12">
        <v>15</v>
      </c>
      <c r="J19" s="12">
        <v>15</v>
      </c>
      <c r="K19" s="12">
        <v>15</v>
      </c>
      <c r="L19" s="12">
        <f>SUM(E19:K19)</f>
        <v>1554</v>
      </c>
      <c r="M19" s="5"/>
      <c r="N19" s="5"/>
      <c r="O19" s="5"/>
      <c r="P19" s="5"/>
      <c r="Q19" s="5"/>
      <c r="R19" s="5"/>
      <c r="S19" s="5"/>
      <c r="T19" s="5"/>
      <c r="U19" s="5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3.4" hidden="1" x14ac:dyDescent="0.75">
      <c r="A20" s="12">
        <v>10</v>
      </c>
      <c r="B20" s="34" t="s">
        <v>14</v>
      </c>
      <c r="C20" s="12" t="s">
        <v>55</v>
      </c>
      <c r="D20" s="32" t="s">
        <v>46</v>
      </c>
      <c r="E20" s="12">
        <v>362</v>
      </c>
      <c r="F20" s="12">
        <v>139</v>
      </c>
      <c r="G20" s="12">
        <v>33</v>
      </c>
      <c r="H20" s="12">
        <v>11</v>
      </c>
      <c r="I20" s="12">
        <v>5</v>
      </c>
      <c r="J20" s="12">
        <v>2</v>
      </c>
      <c r="K20" s="12">
        <v>2</v>
      </c>
      <c r="L20" s="12">
        <f>SUM(E20:K20)</f>
        <v>554</v>
      </c>
      <c r="M20" s="5"/>
      <c r="N20" s="5"/>
      <c r="O20" s="5"/>
      <c r="P20" s="5"/>
      <c r="Q20" s="5"/>
      <c r="R20" s="5"/>
      <c r="S20" s="5"/>
      <c r="T20" s="5"/>
      <c r="U20" s="5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23.4" x14ac:dyDescent="0.75">
      <c r="A21" s="12">
        <v>10</v>
      </c>
      <c r="B21" s="34" t="s">
        <v>14</v>
      </c>
      <c r="C21" s="12" t="s">
        <v>51</v>
      </c>
      <c r="D21" s="32" t="s">
        <v>47</v>
      </c>
      <c r="E21" s="12">
        <v>3757</v>
      </c>
      <c r="F21" s="12">
        <v>1565</v>
      </c>
      <c r="G21" s="12">
        <v>501</v>
      </c>
      <c r="H21" s="12">
        <v>250</v>
      </c>
      <c r="I21" s="12">
        <v>62</v>
      </c>
      <c r="J21" s="12">
        <v>62</v>
      </c>
      <c r="K21" s="12">
        <v>62</v>
      </c>
      <c r="L21" s="12">
        <f>SUM(E21:K21)</f>
        <v>6259</v>
      </c>
      <c r="M21" s="5"/>
      <c r="N21" s="5"/>
      <c r="O21" s="5"/>
      <c r="P21" s="5"/>
      <c r="Q21" s="5"/>
      <c r="R21" s="5"/>
      <c r="S21" s="5"/>
      <c r="T21" s="5"/>
      <c r="U21" s="5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23.4" hidden="1" x14ac:dyDescent="0.75">
      <c r="A22" s="12">
        <v>11</v>
      </c>
      <c r="B22" s="34" t="s">
        <v>15</v>
      </c>
      <c r="C22" s="12" t="s">
        <v>55</v>
      </c>
      <c r="D22" s="32" t="s">
        <v>46</v>
      </c>
      <c r="E22" s="12">
        <v>1032</v>
      </c>
      <c r="F22" s="12">
        <v>430</v>
      </c>
      <c r="G22" s="12">
        <v>137</v>
      </c>
      <c r="H22" s="12">
        <v>68</v>
      </c>
      <c r="I22" s="12">
        <v>17</v>
      </c>
      <c r="J22" s="12">
        <v>17</v>
      </c>
      <c r="K22" s="12">
        <v>17</v>
      </c>
      <c r="L22" s="12">
        <f>SUM(E22:K22)</f>
        <v>1718</v>
      </c>
      <c r="M22" s="5"/>
      <c r="N22" s="5"/>
      <c r="O22" s="5"/>
      <c r="P22" s="5"/>
      <c r="Q22" s="5"/>
      <c r="R22" s="5"/>
      <c r="S22" s="5"/>
      <c r="T22" s="5"/>
      <c r="U22" s="5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23.4" x14ac:dyDescent="0.75">
      <c r="A23" s="12">
        <v>11</v>
      </c>
      <c r="B23" s="34" t="s">
        <v>15</v>
      </c>
      <c r="C23" s="12" t="s">
        <v>54</v>
      </c>
      <c r="D23" s="32" t="s">
        <v>47</v>
      </c>
      <c r="E23" s="12">
        <v>1251</v>
      </c>
      <c r="F23" s="12">
        <v>481</v>
      </c>
      <c r="G23" s="12">
        <v>115</v>
      </c>
      <c r="H23" s="12">
        <v>38</v>
      </c>
      <c r="I23" s="12">
        <v>19</v>
      </c>
      <c r="J23" s="12">
        <v>9</v>
      </c>
      <c r="K23" s="12">
        <v>9</v>
      </c>
      <c r="L23" s="12">
        <f>SUM(E23:K23)</f>
        <v>1922</v>
      </c>
      <c r="M23" s="5"/>
      <c r="N23" s="5"/>
      <c r="O23" s="5"/>
      <c r="P23" s="5"/>
      <c r="Q23" s="5"/>
      <c r="R23" s="5"/>
      <c r="S23" s="5"/>
      <c r="T23" s="5"/>
      <c r="U23" s="5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3.4" hidden="1" x14ac:dyDescent="0.75">
      <c r="A24" s="12">
        <v>12</v>
      </c>
      <c r="B24" s="34" t="s">
        <v>16</v>
      </c>
      <c r="C24" s="12" t="s">
        <v>52</v>
      </c>
      <c r="D24" s="32" t="s">
        <v>46</v>
      </c>
      <c r="E24" s="12">
        <v>549</v>
      </c>
      <c r="F24" s="12">
        <v>211</v>
      </c>
      <c r="G24" s="12">
        <v>50</v>
      </c>
      <c r="H24" s="12">
        <v>16</v>
      </c>
      <c r="I24" s="12">
        <v>8</v>
      </c>
      <c r="J24" s="12">
        <v>4</v>
      </c>
      <c r="K24" s="12">
        <v>4</v>
      </c>
      <c r="L24" s="12">
        <f>SUM(E24:K24)</f>
        <v>842</v>
      </c>
      <c r="M24" s="5"/>
      <c r="N24" s="5"/>
      <c r="O24" s="5"/>
      <c r="P24" s="5"/>
      <c r="Q24" s="5"/>
      <c r="R24" s="5"/>
      <c r="S24" s="5"/>
      <c r="T24" s="5"/>
      <c r="U24" s="5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23.4" x14ac:dyDescent="0.75">
      <c r="A25" s="12">
        <v>12</v>
      </c>
      <c r="B25" s="34" t="s">
        <v>16</v>
      </c>
      <c r="C25" s="12" t="s">
        <v>50</v>
      </c>
      <c r="D25" s="32" t="s">
        <v>47</v>
      </c>
      <c r="E25" s="12">
        <v>1155</v>
      </c>
      <c r="F25" s="12">
        <v>481</v>
      </c>
      <c r="G25" s="12">
        <v>154</v>
      </c>
      <c r="H25" s="12">
        <v>77</v>
      </c>
      <c r="I25" s="12">
        <v>19</v>
      </c>
      <c r="J25" s="12">
        <v>19</v>
      </c>
      <c r="K25" s="12">
        <v>19</v>
      </c>
      <c r="L25" s="12">
        <f>SUM(E25:K25)</f>
        <v>1924</v>
      </c>
      <c r="M25" s="5"/>
      <c r="N25" s="5"/>
      <c r="O25" s="5"/>
      <c r="P25" s="5"/>
      <c r="Q25" s="5"/>
      <c r="R25" s="5"/>
      <c r="S25" s="5"/>
      <c r="T25" s="5"/>
      <c r="U25" s="5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23.4" hidden="1" x14ac:dyDescent="0.75">
      <c r="A26" s="12">
        <v>13</v>
      </c>
      <c r="B26" s="34" t="s">
        <v>17</v>
      </c>
      <c r="C26" s="12" t="s">
        <v>56</v>
      </c>
      <c r="D26" s="32" t="s">
        <v>46</v>
      </c>
      <c r="E26" s="12">
        <v>545</v>
      </c>
      <c r="F26" s="12">
        <v>209</v>
      </c>
      <c r="G26" s="12">
        <v>50</v>
      </c>
      <c r="H26" s="12">
        <v>16</v>
      </c>
      <c r="I26" s="12">
        <v>8</v>
      </c>
      <c r="J26" s="12">
        <v>4</v>
      </c>
      <c r="K26" s="12">
        <v>4</v>
      </c>
      <c r="L26" s="12">
        <f>SUM(E26:K26)</f>
        <v>836</v>
      </c>
      <c r="M26" s="5"/>
      <c r="N26" s="5"/>
      <c r="O26" s="5"/>
      <c r="P26" s="5"/>
      <c r="Q26" s="5"/>
      <c r="R26" s="5"/>
      <c r="S26" s="5"/>
      <c r="T26" s="5"/>
      <c r="U26" s="5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23.4" x14ac:dyDescent="0.75">
      <c r="A27" s="12">
        <v>13</v>
      </c>
      <c r="B27" s="34" t="s">
        <v>17</v>
      </c>
      <c r="C27" s="12" t="s">
        <v>57</v>
      </c>
      <c r="D27" s="32" t="s">
        <v>47</v>
      </c>
      <c r="E27" s="12">
        <v>1788</v>
      </c>
      <c r="F27" s="12">
        <v>687</v>
      </c>
      <c r="G27" s="12">
        <v>165</v>
      </c>
      <c r="H27" s="12">
        <v>55</v>
      </c>
      <c r="I27" s="12">
        <v>27</v>
      </c>
      <c r="J27" s="12">
        <v>13</v>
      </c>
      <c r="K27" s="12">
        <v>13</v>
      </c>
      <c r="L27" s="12">
        <f>SUM(E27:K27)</f>
        <v>2748</v>
      </c>
      <c r="M27" s="5"/>
      <c r="N27" s="5"/>
      <c r="O27" s="5"/>
      <c r="P27" s="5"/>
      <c r="Q27" s="5"/>
      <c r="R27" s="5"/>
      <c r="S27" s="5"/>
      <c r="T27" s="5"/>
      <c r="U27" s="5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23.4" hidden="1" x14ac:dyDescent="0.75">
      <c r="A28" s="12">
        <v>14</v>
      </c>
      <c r="B28" s="34" t="s">
        <v>18</v>
      </c>
      <c r="C28" s="12" t="s">
        <v>58</v>
      </c>
      <c r="D28" s="32" t="s">
        <v>46</v>
      </c>
      <c r="E28" s="12">
        <v>1355</v>
      </c>
      <c r="F28" s="12">
        <v>521</v>
      </c>
      <c r="G28" s="12">
        <v>125</v>
      </c>
      <c r="H28" s="12">
        <v>41</v>
      </c>
      <c r="I28" s="12">
        <v>20</v>
      </c>
      <c r="J28" s="12">
        <v>10</v>
      </c>
      <c r="K28" s="12">
        <v>10</v>
      </c>
      <c r="L28" s="12">
        <f>SUM(E28:K28)</f>
        <v>2082</v>
      </c>
      <c r="M28" s="5"/>
      <c r="N28" s="5"/>
      <c r="O28" s="5"/>
      <c r="P28" s="5"/>
      <c r="Q28" s="5"/>
      <c r="R28" s="5"/>
      <c r="S28" s="5"/>
      <c r="T28" s="5"/>
      <c r="U28" s="5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23.4" x14ac:dyDescent="0.75">
      <c r="A29" s="12">
        <v>14</v>
      </c>
      <c r="B29" s="34" t="s">
        <v>18</v>
      </c>
      <c r="C29" s="12" t="s">
        <v>59</v>
      </c>
      <c r="D29" s="32" t="s">
        <v>47</v>
      </c>
      <c r="E29" s="12">
        <v>1751</v>
      </c>
      <c r="F29" s="12">
        <v>729</v>
      </c>
      <c r="G29" s="12">
        <v>233</v>
      </c>
      <c r="H29" s="12">
        <v>116</v>
      </c>
      <c r="I29" s="12">
        <v>29</v>
      </c>
      <c r="J29" s="12">
        <v>29</v>
      </c>
      <c r="K29" s="12">
        <v>29</v>
      </c>
      <c r="L29" s="12">
        <f>SUM(E29:K29)</f>
        <v>2916</v>
      </c>
      <c r="M29" s="5"/>
      <c r="N29" s="5"/>
      <c r="O29" s="5"/>
      <c r="P29" s="5"/>
      <c r="Q29" s="5"/>
      <c r="R29" s="5"/>
      <c r="S29" s="5"/>
      <c r="T29" s="5"/>
      <c r="U29" s="5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23.4" hidden="1" x14ac:dyDescent="0.75">
      <c r="A30" s="12">
        <v>15</v>
      </c>
      <c r="B30" s="34" t="s">
        <v>19</v>
      </c>
      <c r="C30" s="12" t="s">
        <v>60</v>
      </c>
      <c r="D30" s="32" t="s">
        <v>46</v>
      </c>
      <c r="E30" s="12">
        <v>1400</v>
      </c>
      <c r="F30" s="12">
        <v>538</v>
      </c>
      <c r="G30" s="12">
        <v>129</v>
      </c>
      <c r="H30" s="12">
        <v>43</v>
      </c>
      <c r="I30" s="12">
        <v>21</v>
      </c>
      <c r="J30" s="12">
        <v>10</v>
      </c>
      <c r="K30" s="12">
        <v>10</v>
      </c>
      <c r="L30" s="12">
        <f>SUM(E30:K30)</f>
        <v>2151</v>
      </c>
      <c r="M30" s="5"/>
      <c r="N30" s="5"/>
      <c r="O30" s="5"/>
      <c r="P30" s="5"/>
      <c r="Q30" s="5"/>
      <c r="R30" s="5"/>
      <c r="S30" s="5"/>
      <c r="T30" s="5"/>
      <c r="U30" s="5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23.4" x14ac:dyDescent="0.75">
      <c r="A31" s="12">
        <v>15</v>
      </c>
      <c r="B31" s="34" t="s">
        <v>19</v>
      </c>
      <c r="C31" s="12" t="s">
        <v>51</v>
      </c>
      <c r="D31" s="32" t="s">
        <v>47</v>
      </c>
      <c r="E31" s="12">
        <v>2028</v>
      </c>
      <c r="F31" s="12">
        <v>780</v>
      </c>
      <c r="G31" s="12">
        <v>187</v>
      </c>
      <c r="H31" s="12">
        <v>62</v>
      </c>
      <c r="I31" s="12">
        <v>31</v>
      </c>
      <c r="J31" s="12">
        <v>15</v>
      </c>
      <c r="K31" s="12">
        <v>15</v>
      </c>
      <c r="L31" s="12">
        <f>SUM(E31:K31)</f>
        <v>3118</v>
      </c>
      <c r="M31" s="5"/>
      <c r="N31" s="5"/>
      <c r="O31" s="5"/>
      <c r="P31" s="5"/>
      <c r="Q31" s="5"/>
      <c r="R31" s="5"/>
      <c r="S31" s="5"/>
      <c r="T31" s="5"/>
      <c r="U31" s="5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23.4" hidden="1" x14ac:dyDescent="0.75">
      <c r="A32" s="12">
        <v>16</v>
      </c>
      <c r="B32" s="34" t="s">
        <v>24</v>
      </c>
      <c r="C32" s="12" t="s">
        <v>55</v>
      </c>
      <c r="D32" s="32" t="s">
        <v>46</v>
      </c>
      <c r="E32" s="12">
        <v>1014</v>
      </c>
      <c r="F32" s="12">
        <v>390</v>
      </c>
      <c r="G32" s="12">
        <v>93</v>
      </c>
      <c r="H32" s="12">
        <v>31</v>
      </c>
      <c r="I32" s="12">
        <v>15</v>
      </c>
      <c r="J32" s="12">
        <v>7</v>
      </c>
      <c r="K32" s="12">
        <v>7</v>
      </c>
      <c r="L32" s="12">
        <f>SUM(E32:K32)</f>
        <v>1557</v>
      </c>
      <c r="M32" s="5"/>
      <c r="N32" s="5"/>
      <c r="O32" s="5"/>
      <c r="P32" s="5"/>
      <c r="Q32" s="5"/>
      <c r="R32" s="5"/>
      <c r="S32" s="5"/>
      <c r="T32" s="5"/>
      <c r="U32" s="5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23.4" x14ac:dyDescent="0.75">
      <c r="A33" s="12">
        <v>16</v>
      </c>
      <c r="B33" s="34" t="s">
        <v>24</v>
      </c>
      <c r="C33" s="12" t="s">
        <v>58</v>
      </c>
      <c r="D33" s="32" t="s">
        <v>47</v>
      </c>
      <c r="E33" s="12">
        <v>1792</v>
      </c>
      <c r="F33" s="12">
        <v>747</v>
      </c>
      <c r="G33" s="12">
        <v>239</v>
      </c>
      <c r="H33" s="12">
        <v>119</v>
      </c>
      <c r="I33" s="12">
        <v>29</v>
      </c>
      <c r="J33" s="12">
        <v>29</v>
      </c>
      <c r="K33" s="12">
        <v>29</v>
      </c>
      <c r="L33" s="12">
        <f>SUM(E33:K33)</f>
        <v>2984</v>
      </c>
      <c r="M33" s="5"/>
      <c r="N33" s="5"/>
      <c r="O33" s="5"/>
      <c r="P33" s="5"/>
      <c r="Q33" s="5"/>
      <c r="R33" s="5"/>
      <c r="S33" s="5"/>
      <c r="T33" s="5"/>
      <c r="U33" s="5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23.4" hidden="1" x14ac:dyDescent="0.75">
      <c r="A34" s="12">
        <v>17</v>
      </c>
      <c r="B34" s="34" t="s">
        <v>25</v>
      </c>
      <c r="C34" s="12" t="s">
        <v>52</v>
      </c>
      <c r="D34" s="32" t="s">
        <v>46</v>
      </c>
      <c r="E34" s="12">
        <v>1038</v>
      </c>
      <c r="F34" s="12">
        <v>399</v>
      </c>
      <c r="G34" s="12">
        <v>95</v>
      </c>
      <c r="H34" s="12">
        <v>31</v>
      </c>
      <c r="I34" s="12">
        <v>15</v>
      </c>
      <c r="J34" s="12">
        <v>7</v>
      </c>
      <c r="K34" s="12">
        <v>7</v>
      </c>
      <c r="L34" s="12">
        <f>SUM(E34:K34)</f>
        <v>1592</v>
      </c>
      <c r="M34" s="5"/>
      <c r="N34" s="5"/>
      <c r="O34" s="5"/>
      <c r="P34" s="5"/>
      <c r="Q34" s="5"/>
      <c r="R34" s="5"/>
      <c r="S34" s="5"/>
      <c r="T34" s="5"/>
      <c r="U34" s="5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23.4" x14ac:dyDescent="0.75">
      <c r="A35" s="12">
        <v>17</v>
      </c>
      <c r="B35" s="34" t="s">
        <v>25</v>
      </c>
      <c r="C35" s="12" t="s">
        <v>54</v>
      </c>
      <c r="D35" s="32" t="s">
        <v>47</v>
      </c>
      <c r="E35" s="12">
        <v>1129</v>
      </c>
      <c r="F35" s="12">
        <v>434</v>
      </c>
      <c r="G35" s="12">
        <v>104</v>
      </c>
      <c r="H35" s="12">
        <v>34</v>
      </c>
      <c r="I35" s="12">
        <v>17</v>
      </c>
      <c r="J35" s="12">
        <v>8</v>
      </c>
      <c r="K35" s="12">
        <v>8</v>
      </c>
      <c r="L35" s="12">
        <f>SUM(E35:K35)</f>
        <v>1734</v>
      </c>
      <c r="M35" s="5"/>
      <c r="N35" s="5"/>
      <c r="O35" s="5"/>
      <c r="P35" s="5"/>
      <c r="Q35" s="5"/>
      <c r="R35" s="5"/>
      <c r="S35" s="5"/>
      <c r="T35" s="5"/>
      <c r="U35" s="5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23.4" hidden="1" x14ac:dyDescent="0.75">
      <c r="A36" s="12">
        <v>18</v>
      </c>
      <c r="B36" s="34" t="s">
        <v>26</v>
      </c>
      <c r="C36" s="12" t="s">
        <v>59</v>
      </c>
      <c r="D36" s="32" t="s">
        <v>46</v>
      </c>
      <c r="E36" s="12">
        <v>903</v>
      </c>
      <c r="F36" s="12">
        <v>347</v>
      </c>
      <c r="G36" s="12">
        <v>83</v>
      </c>
      <c r="H36" s="12">
        <v>27</v>
      </c>
      <c r="I36" s="12">
        <v>14</v>
      </c>
      <c r="J36" s="12">
        <v>7</v>
      </c>
      <c r="K36" s="12">
        <v>7</v>
      </c>
      <c r="L36" s="12">
        <f>SUM(E36:K36)</f>
        <v>1388</v>
      </c>
      <c r="M36" s="5"/>
      <c r="N36" s="5"/>
      <c r="O36" s="5"/>
      <c r="P36" s="5"/>
      <c r="Q36" s="5"/>
      <c r="R36" s="5"/>
      <c r="S36" s="5"/>
      <c r="T36" s="5"/>
      <c r="U36" s="5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23.4" x14ac:dyDescent="0.75">
      <c r="A37" s="12">
        <v>18</v>
      </c>
      <c r="B37" s="34" t="s">
        <v>26</v>
      </c>
      <c r="C37" s="12" t="s">
        <v>56</v>
      </c>
      <c r="D37" s="32" t="s">
        <v>47</v>
      </c>
      <c r="E37" s="12">
        <v>1876</v>
      </c>
      <c r="F37" s="12">
        <v>781</v>
      </c>
      <c r="G37" s="12">
        <v>250</v>
      </c>
      <c r="H37" s="12">
        <v>125</v>
      </c>
      <c r="I37" s="12">
        <v>31</v>
      </c>
      <c r="J37" s="12">
        <v>31</v>
      </c>
      <c r="K37" s="12">
        <v>31</v>
      </c>
      <c r="L37" s="12">
        <f>SUM(E37:K37)</f>
        <v>3125</v>
      </c>
      <c r="M37" s="5"/>
      <c r="N37" s="5"/>
      <c r="O37" s="5"/>
      <c r="P37" s="5"/>
      <c r="Q37" s="5"/>
      <c r="R37" s="5"/>
      <c r="S37" s="5"/>
      <c r="T37" s="5"/>
      <c r="U37" s="5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23.4" hidden="1" x14ac:dyDescent="0.75">
      <c r="A38" s="12">
        <v>19</v>
      </c>
      <c r="B38" s="34" t="s">
        <v>27</v>
      </c>
      <c r="C38" s="12" t="s">
        <v>61</v>
      </c>
      <c r="D38" s="32" t="s">
        <v>46</v>
      </c>
      <c r="E38" s="12">
        <v>949</v>
      </c>
      <c r="F38" s="12">
        <v>365</v>
      </c>
      <c r="G38" s="12">
        <v>87</v>
      </c>
      <c r="H38" s="12">
        <v>30</v>
      </c>
      <c r="I38" s="12">
        <v>15</v>
      </c>
      <c r="J38" s="12">
        <v>7</v>
      </c>
      <c r="K38" s="12">
        <v>7</v>
      </c>
      <c r="L38" s="12">
        <f>SUM(E38:K38)</f>
        <v>1460</v>
      </c>
      <c r="M38" s="5"/>
      <c r="N38" s="5"/>
      <c r="O38" s="5"/>
      <c r="P38" s="5"/>
      <c r="Q38" s="5"/>
      <c r="R38" s="5"/>
      <c r="S38" s="5"/>
      <c r="T38" s="5"/>
      <c r="U38" s="5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23.4" x14ac:dyDescent="0.75">
      <c r="A39" s="12">
        <v>19</v>
      </c>
      <c r="B39" s="34" t="s">
        <v>27</v>
      </c>
      <c r="C39" s="12" t="s">
        <v>62</v>
      </c>
      <c r="D39" s="32" t="s">
        <v>47</v>
      </c>
      <c r="E39" s="12">
        <v>1834</v>
      </c>
      <c r="F39" s="12">
        <v>764</v>
      </c>
      <c r="G39" s="12">
        <v>244</v>
      </c>
      <c r="H39" s="12">
        <v>122</v>
      </c>
      <c r="I39" s="12">
        <v>30</v>
      </c>
      <c r="J39" s="12">
        <v>30</v>
      </c>
      <c r="K39" s="12">
        <v>30</v>
      </c>
      <c r="L39" s="12">
        <f>SUM(E39:K39)</f>
        <v>3054</v>
      </c>
      <c r="M39" s="5"/>
      <c r="N39" s="5"/>
      <c r="O39" s="5"/>
      <c r="P39" s="5"/>
      <c r="Q39" s="5"/>
      <c r="R39" s="5"/>
      <c r="S39" s="5"/>
      <c r="T39" s="5"/>
      <c r="U39" s="5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23.4" hidden="1" x14ac:dyDescent="0.75">
      <c r="A40" s="12">
        <v>20</v>
      </c>
      <c r="B40" s="34" t="s">
        <v>28</v>
      </c>
      <c r="C40" s="12" t="s">
        <v>63</v>
      </c>
      <c r="D40" s="32" t="s">
        <v>46</v>
      </c>
      <c r="E40" s="12">
        <v>1006</v>
      </c>
      <c r="F40" s="12">
        <v>387</v>
      </c>
      <c r="G40" s="12">
        <v>92</v>
      </c>
      <c r="H40" s="12">
        <v>30</v>
      </c>
      <c r="I40" s="12">
        <v>16</v>
      </c>
      <c r="J40" s="12">
        <v>8</v>
      </c>
      <c r="K40" s="12">
        <v>8</v>
      </c>
      <c r="L40" s="12">
        <f>SUM(E40:K40)</f>
        <v>1547</v>
      </c>
      <c r="M40" s="5"/>
      <c r="N40" s="5"/>
      <c r="O40" s="5"/>
      <c r="P40" s="5"/>
      <c r="Q40" s="5"/>
      <c r="R40" s="5"/>
      <c r="S40" s="5"/>
      <c r="T40" s="5"/>
      <c r="U40" s="5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23.4" x14ac:dyDescent="0.75">
      <c r="A41" s="12">
        <v>20</v>
      </c>
      <c r="B41" s="34" t="s">
        <v>28</v>
      </c>
      <c r="C41" s="12" t="s">
        <v>64</v>
      </c>
      <c r="D41" s="32" t="s">
        <v>47</v>
      </c>
      <c r="E41" s="12">
        <v>2662</v>
      </c>
      <c r="F41" s="12">
        <v>1109</v>
      </c>
      <c r="G41" s="12">
        <v>354</v>
      </c>
      <c r="H41" s="12">
        <v>177</v>
      </c>
      <c r="I41" s="12">
        <v>44</v>
      </c>
      <c r="J41" s="12">
        <v>44</v>
      </c>
      <c r="K41" s="12">
        <v>44</v>
      </c>
      <c r="L41" s="12">
        <f>SUM(E41:K41)</f>
        <v>4434</v>
      </c>
      <c r="M41" s="5"/>
      <c r="N41" s="5"/>
      <c r="O41" s="5"/>
      <c r="P41" s="5"/>
      <c r="Q41" s="5"/>
      <c r="R41" s="5"/>
      <c r="S41" s="5"/>
      <c r="T41" s="5"/>
      <c r="U41" s="5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23.4" hidden="1" x14ac:dyDescent="0.75">
      <c r="A42" s="12">
        <v>21</v>
      </c>
      <c r="B42" s="34" t="s">
        <v>29</v>
      </c>
      <c r="C42" s="12" t="s">
        <v>57</v>
      </c>
      <c r="D42" s="32" t="s">
        <v>46</v>
      </c>
      <c r="E42" s="12">
        <v>2620</v>
      </c>
      <c r="F42" s="12">
        <v>1007</v>
      </c>
      <c r="G42" s="12">
        <v>241</v>
      </c>
      <c r="H42" s="12">
        <v>80</v>
      </c>
      <c r="I42" s="12">
        <v>40</v>
      </c>
      <c r="J42" s="12">
        <v>20</v>
      </c>
      <c r="K42" s="12">
        <v>20</v>
      </c>
      <c r="L42" s="12">
        <f>SUM(E42:K42)</f>
        <v>4028</v>
      </c>
      <c r="M42" s="5"/>
      <c r="N42" s="5"/>
      <c r="O42" s="5"/>
      <c r="P42" s="5"/>
      <c r="Q42" s="5"/>
      <c r="R42" s="5"/>
      <c r="S42" s="5"/>
      <c r="T42" s="5"/>
      <c r="U42" s="5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23.4" x14ac:dyDescent="0.75">
      <c r="A43" s="12">
        <v>21</v>
      </c>
      <c r="B43" s="34" t="s">
        <v>29</v>
      </c>
      <c r="C43" s="12" t="s">
        <v>55</v>
      </c>
      <c r="D43" s="32" t="s">
        <v>47</v>
      </c>
      <c r="E43" s="12">
        <v>4956</v>
      </c>
      <c r="F43" s="12">
        <v>1906</v>
      </c>
      <c r="G43" s="12">
        <v>457</v>
      </c>
      <c r="H43" s="12">
        <v>152</v>
      </c>
      <c r="I43" s="12">
        <v>76</v>
      </c>
      <c r="J43" s="12">
        <v>38</v>
      </c>
      <c r="K43" s="12">
        <v>37</v>
      </c>
      <c r="L43" s="12">
        <f>SUM(E43:K43)</f>
        <v>7622</v>
      </c>
      <c r="M43" s="5"/>
      <c r="N43" s="5"/>
      <c r="O43" s="5"/>
      <c r="P43" s="5"/>
      <c r="Q43" s="5"/>
      <c r="R43" s="5"/>
      <c r="S43" s="5"/>
      <c r="T43" s="5"/>
      <c r="U43" s="5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23.4" hidden="1" x14ac:dyDescent="0.75">
      <c r="A44" s="12">
        <v>22</v>
      </c>
      <c r="B44" s="34" t="s">
        <v>30</v>
      </c>
      <c r="C44" s="12" t="s">
        <v>51</v>
      </c>
      <c r="D44" s="32" t="s">
        <v>46</v>
      </c>
      <c r="E44" s="12">
        <v>3063</v>
      </c>
      <c r="F44" s="12">
        <v>612</v>
      </c>
      <c r="G44" s="12">
        <v>245</v>
      </c>
      <c r="H44" s="12">
        <v>81</v>
      </c>
      <c r="I44" s="12">
        <v>40</v>
      </c>
      <c r="J44" s="12">
        <v>20</v>
      </c>
      <c r="K44" s="12">
        <v>20</v>
      </c>
      <c r="L44" s="12">
        <f>SUM(E44:K44)</f>
        <v>4081</v>
      </c>
      <c r="M44" s="5"/>
      <c r="N44" s="5"/>
      <c r="O44" s="5"/>
      <c r="P44" s="5"/>
      <c r="Q44" s="5"/>
      <c r="R44" s="5"/>
      <c r="S44" s="5"/>
      <c r="T44" s="5"/>
      <c r="U44" s="5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23.4" x14ac:dyDescent="0.75">
      <c r="A45" s="12">
        <v>22</v>
      </c>
      <c r="B45" s="34" t="s">
        <v>30</v>
      </c>
      <c r="C45" s="12" t="s">
        <v>55</v>
      </c>
      <c r="D45" s="32" t="s">
        <v>47</v>
      </c>
      <c r="E45" s="12">
        <v>1062</v>
      </c>
      <c r="F45" s="12">
        <v>408</v>
      </c>
      <c r="G45" s="12">
        <v>98</v>
      </c>
      <c r="H45" s="12">
        <v>32</v>
      </c>
      <c r="I45" s="12">
        <v>16</v>
      </c>
      <c r="J45" s="12">
        <v>8</v>
      </c>
      <c r="K45" s="12">
        <v>8</v>
      </c>
      <c r="L45" s="12">
        <f>SUM(E45:K45)</f>
        <v>1632</v>
      </c>
      <c r="M45" s="5"/>
      <c r="N45" s="5"/>
      <c r="O45" s="5"/>
      <c r="P45" s="5"/>
      <c r="Q45" s="5"/>
      <c r="R45" s="5"/>
      <c r="S45" s="5"/>
      <c r="T45" s="5"/>
      <c r="U45" s="5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23.4" hidden="1" x14ac:dyDescent="0.75">
      <c r="A46" s="12">
        <v>23</v>
      </c>
      <c r="B46" s="34" t="s">
        <v>31</v>
      </c>
      <c r="C46" s="12" t="s">
        <v>54</v>
      </c>
      <c r="D46" s="32" t="s">
        <v>46</v>
      </c>
      <c r="E46" s="12">
        <v>531</v>
      </c>
      <c r="F46" s="12">
        <v>221</v>
      </c>
      <c r="G46" s="12">
        <v>70</v>
      </c>
      <c r="H46" s="12">
        <v>35</v>
      </c>
      <c r="I46" s="12">
        <v>8</v>
      </c>
      <c r="J46" s="12">
        <v>8</v>
      </c>
      <c r="K46" s="12">
        <v>8</v>
      </c>
      <c r="L46" s="12">
        <f>SUM(E46:K46)</f>
        <v>881</v>
      </c>
      <c r="M46" s="5"/>
      <c r="N46" s="5"/>
      <c r="O46" s="5"/>
      <c r="P46" s="5"/>
      <c r="Q46" s="5"/>
      <c r="R46" s="5"/>
      <c r="S46" s="5"/>
      <c r="T46" s="5"/>
      <c r="U46" s="5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23.4" x14ac:dyDescent="0.75">
      <c r="A47" s="12">
        <v>23</v>
      </c>
      <c r="B47" s="34" t="s">
        <v>31</v>
      </c>
      <c r="C47" s="12" t="s">
        <v>52</v>
      </c>
      <c r="D47" s="32" t="s">
        <v>47</v>
      </c>
      <c r="E47" s="12">
        <v>1453</v>
      </c>
      <c r="F47" s="12">
        <v>605</v>
      </c>
      <c r="G47" s="12">
        <v>193</v>
      </c>
      <c r="H47" s="12">
        <v>96</v>
      </c>
      <c r="I47" s="12">
        <v>24</v>
      </c>
      <c r="J47" s="12">
        <v>24</v>
      </c>
      <c r="K47" s="12">
        <v>24</v>
      </c>
      <c r="L47" s="12">
        <f>SUM(E47:K47)</f>
        <v>2419</v>
      </c>
      <c r="M47" s="5"/>
      <c r="N47" s="5"/>
      <c r="O47" s="5"/>
      <c r="P47" s="5"/>
      <c r="Q47" s="5"/>
      <c r="R47" s="5"/>
      <c r="S47" s="5"/>
      <c r="T47" s="5"/>
      <c r="U47" s="5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23.4" hidden="1" x14ac:dyDescent="0.75">
      <c r="A48" s="12">
        <v>24</v>
      </c>
      <c r="B48" s="34" t="s">
        <v>32</v>
      </c>
      <c r="C48" s="12" t="s">
        <v>50</v>
      </c>
      <c r="D48" s="32" t="s">
        <v>46</v>
      </c>
      <c r="E48" s="12">
        <v>710</v>
      </c>
      <c r="F48" s="12">
        <v>296</v>
      </c>
      <c r="G48" s="12">
        <v>94</v>
      </c>
      <c r="H48" s="12">
        <v>47</v>
      </c>
      <c r="I48" s="12">
        <v>11</v>
      </c>
      <c r="J48" s="12">
        <v>11</v>
      </c>
      <c r="K48" s="12">
        <v>11</v>
      </c>
      <c r="L48" s="12">
        <f>SUM(E48:K48)</f>
        <v>1180</v>
      </c>
      <c r="M48" s="5"/>
      <c r="N48" s="5"/>
      <c r="O48" s="5"/>
      <c r="P48" s="5"/>
      <c r="Q48" s="5"/>
      <c r="R48" s="5"/>
      <c r="S48" s="5"/>
      <c r="T48" s="5"/>
      <c r="U48" s="5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23.4" x14ac:dyDescent="0.75">
      <c r="A49" s="12">
        <v>24</v>
      </c>
      <c r="B49" s="34" t="s">
        <v>32</v>
      </c>
      <c r="C49" s="12" t="s">
        <v>56</v>
      </c>
      <c r="D49" s="32" t="s">
        <v>47</v>
      </c>
      <c r="E49" s="12">
        <v>1241</v>
      </c>
      <c r="F49" s="12">
        <v>517</v>
      </c>
      <c r="G49" s="12">
        <v>165</v>
      </c>
      <c r="H49" s="12">
        <v>82</v>
      </c>
      <c r="I49" s="12">
        <v>20</v>
      </c>
      <c r="J49" s="12">
        <v>20</v>
      </c>
      <c r="K49" s="12">
        <v>20</v>
      </c>
      <c r="L49" s="12">
        <f>SUM(E49:K49)</f>
        <v>2065</v>
      </c>
      <c r="M49" s="5"/>
      <c r="N49" s="5"/>
      <c r="O49" s="5"/>
      <c r="P49" s="5"/>
      <c r="Q49" s="5"/>
      <c r="R49" s="5"/>
      <c r="S49" s="5"/>
      <c r="T49" s="5"/>
      <c r="U49" s="5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23.4" hidden="1" x14ac:dyDescent="0.75">
      <c r="A50" s="12">
        <v>25</v>
      </c>
      <c r="B50" s="34" t="s">
        <v>33</v>
      </c>
      <c r="C50" s="12" t="s">
        <v>57</v>
      </c>
      <c r="D50" s="32" t="s">
        <v>46</v>
      </c>
      <c r="E50" s="12">
        <v>819</v>
      </c>
      <c r="F50" s="12">
        <v>341</v>
      </c>
      <c r="G50" s="12">
        <v>109</v>
      </c>
      <c r="H50" s="12">
        <v>54</v>
      </c>
      <c r="I50" s="12">
        <v>13</v>
      </c>
      <c r="J50" s="12">
        <v>13</v>
      </c>
      <c r="K50" s="12">
        <v>13</v>
      </c>
      <c r="L50" s="12">
        <f>SUM(E50:K50)</f>
        <v>1362</v>
      </c>
      <c r="M50" s="5"/>
      <c r="N50" s="5"/>
      <c r="O50" s="5"/>
      <c r="P50" s="5"/>
      <c r="Q50" s="5"/>
      <c r="R50" s="5"/>
      <c r="S50" s="5"/>
      <c r="T50" s="5"/>
      <c r="U50" s="5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23.4" x14ac:dyDescent="0.75">
      <c r="A51" s="12">
        <v>25</v>
      </c>
      <c r="B51" s="34" t="s">
        <v>33</v>
      </c>
      <c r="C51" s="12" t="s">
        <v>61</v>
      </c>
      <c r="D51" s="32" t="s">
        <v>47</v>
      </c>
      <c r="E51" s="12">
        <v>2123</v>
      </c>
      <c r="F51" s="12">
        <v>816</v>
      </c>
      <c r="G51" s="12">
        <v>196</v>
      </c>
      <c r="H51" s="12">
        <v>65</v>
      </c>
      <c r="I51" s="12">
        <v>32</v>
      </c>
      <c r="J51" s="12">
        <v>16</v>
      </c>
      <c r="K51" s="12">
        <v>16</v>
      </c>
      <c r="L51" s="12">
        <f>SUM(E51:K51)</f>
        <v>3264</v>
      </c>
      <c r="M51" s="5"/>
      <c r="N51" s="5"/>
      <c r="O51" s="5"/>
      <c r="P51" s="5"/>
      <c r="Q51" s="5"/>
      <c r="R51" s="5"/>
      <c r="S51" s="5"/>
      <c r="T51" s="5"/>
      <c r="U51" s="5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23.4" hidden="1" x14ac:dyDescent="0.75">
      <c r="A52" s="12">
        <v>26</v>
      </c>
      <c r="B52" s="34" t="s">
        <v>34</v>
      </c>
      <c r="C52" s="12" t="s">
        <v>59</v>
      </c>
      <c r="D52" s="32" t="s">
        <v>46</v>
      </c>
      <c r="E52" s="12">
        <v>1106</v>
      </c>
      <c r="F52" s="12">
        <v>425</v>
      </c>
      <c r="G52" s="12">
        <v>102</v>
      </c>
      <c r="H52" s="12">
        <v>34</v>
      </c>
      <c r="I52" s="12">
        <v>17</v>
      </c>
      <c r="J52" s="12">
        <v>9</v>
      </c>
      <c r="K52" s="12">
        <v>9</v>
      </c>
      <c r="L52" s="12">
        <f>SUM(E52:K52)</f>
        <v>1702</v>
      </c>
      <c r="M52" s="5"/>
      <c r="N52" s="5"/>
      <c r="O52" s="5"/>
      <c r="P52" s="5"/>
      <c r="Q52" s="5"/>
      <c r="R52" s="5"/>
      <c r="S52" s="5"/>
      <c r="T52" s="5"/>
      <c r="U52" s="5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23.4" x14ac:dyDescent="0.75">
      <c r="A53" s="12">
        <v>26</v>
      </c>
      <c r="B53" s="34" t="s">
        <v>34</v>
      </c>
      <c r="C53" s="12" t="s">
        <v>65</v>
      </c>
      <c r="D53" s="32" t="s">
        <v>47</v>
      </c>
      <c r="E53" s="12">
        <v>2532</v>
      </c>
      <c r="F53" s="12">
        <v>1055</v>
      </c>
      <c r="G53" s="12">
        <v>337</v>
      </c>
      <c r="H53" s="12">
        <v>168</v>
      </c>
      <c r="I53" s="12">
        <v>42</v>
      </c>
      <c r="J53" s="12">
        <v>42</v>
      </c>
      <c r="K53" s="12">
        <v>42</v>
      </c>
      <c r="L53" s="12">
        <f>SUM(E53:K53)</f>
        <v>4218</v>
      </c>
      <c r="M53" s="5"/>
      <c r="N53" s="5"/>
      <c r="O53" s="5"/>
      <c r="P53" s="5"/>
      <c r="Q53" s="5"/>
      <c r="R53" s="5"/>
      <c r="S53" s="5"/>
      <c r="T53" s="5"/>
      <c r="U53" s="5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23.4" hidden="1" x14ac:dyDescent="0.75">
      <c r="A54" s="12">
        <v>27</v>
      </c>
      <c r="B54" s="34" t="s">
        <v>35</v>
      </c>
      <c r="C54" s="12" t="s">
        <v>66</v>
      </c>
      <c r="D54" s="32" t="s">
        <v>46</v>
      </c>
      <c r="E54" s="12">
        <v>1459</v>
      </c>
      <c r="F54" s="12">
        <v>561</v>
      </c>
      <c r="G54" s="12">
        <v>134</v>
      </c>
      <c r="H54" s="12">
        <v>44</v>
      </c>
      <c r="I54" s="12">
        <v>22</v>
      </c>
      <c r="J54" s="12">
        <v>11</v>
      </c>
      <c r="K54" s="12">
        <v>11</v>
      </c>
      <c r="L54" s="12">
        <f>SUM(E54:K54)</f>
        <v>2242</v>
      </c>
      <c r="M54" s="5"/>
      <c r="N54" s="5"/>
      <c r="O54" s="5"/>
      <c r="P54" s="5"/>
      <c r="Q54" s="5"/>
      <c r="R54" s="5"/>
      <c r="S54" s="5"/>
      <c r="T54" s="5"/>
      <c r="U54" s="5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23.4" x14ac:dyDescent="0.75">
      <c r="A55" s="12">
        <v>27</v>
      </c>
      <c r="B55" s="34" t="s">
        <v>35</v>
      </c>
      <c r="C55" s="12" t="s">
        <v>67</v>
      </c>
      <c r="D55" s="32" t="s">
        <v>47</v>
      </c>
      <c r="E55" s="12">
        <v>3097</v>
      </c>
      <c r="F55" s="12">
        <v>1191</v>
      </c>
      <c r="G55" s="12">
        <v>285</v>
      </c>
      <c r="H55" s="12">
        <v>95</v>
      </c>
      <c r="I55" s="12">
        <v>47</v>
      </c>
      <c r="J55" s="12">
        <v>23</v>
      </c>
      <c r="K55" s="12">
        <v>23</v>
      </c>
      <c r="L55" s="12">
        <f>SUM(E55:K55)</f>
        <v>4761</v>
      </c>
      <c r="M55" s="5"/>
      <c r="N55" s="5"/>
      <c r="O55" s="5"/>
      <c r="P55" s="5"/>
      <c r="Q55" s="5"/>
      <c r="R55" s="5"/>
      <c r="S55" s="5"/>
      <c r="T55" s="5"/>
      <c r="U55" s="5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23.4" hidden="1" x14ac:dyDescent="0.75">
      <c r="A56" s="12">
        <v>28</v>
      </c>
      <c r="B56" s="34" t="s">
        <v>36</v>
      </c>
      <c r="C56" s="12" t="s">
        <v>65</v>
      </c>
      <c r="D56" s="32" t="s">
        <v>46</v>
      </c>
      <c r="E56" s="12">
        <v>1470</v>
      </c>
      <c r="F56" s="12">
        <v>612</v>
      </c>
      <c r="G56" s="12">
        <v>196</v>
      </c>
      <c r="H56" s="12">
        <v>98</v>
      </c>
      <c r="I56" s="12">
        <v>24</v>
      </c>
      <c r="J56" s="12">
        <v>24</v>
      </c>
      <c r="K56" s="12">
        <v>24</v>
      </c>
      <c r="L56" s="12">
        <f>SUM(E56:K56)</f>
        <v>2448</v>
      </c>
      <c r="M56" s="5"/>
      <c r="N56" s="5"/>
      <c r="O56" s="5"/>
      <c r="P56" s="5"/>
      <c r="Q56" s="5"/>
      <c r="R56" s="5"/>
      <c r="S56" s="5"/>
      <c r="T56" s="5"/>
      <c r="U56" s="5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23.4" x14ac:dyDescent="0.75">
      <c r="A57" s="12">
        <v>28</v>
      </c>
      <c r="B57" s="34" t="s">
        <v>36</v>
      </c>
      <c r="C57" s="12" t="s">
        <v>67</v>
      </c>
      <c r="D57" s="32" t="s">
        <v>47</v>
      </c>
      <c r="E57" s="12">
        <v>3267</v>
      </c>
      <c r="F57" s="12">
        <v>1361</v>
      </c>
      <c r="G57" s="12">
        <v>35</v>
      </c>
      <c r="H57" s="12">
        <v>217</v>
      </c>
      <c r="I57" s="12">
        <v>54</v>
      </c>
      <c r="J57" s="12">
        <v>54</v>
      </c>
      <c r="K57" s="12">
        <v>54</v>
      </c>
      <c r="L57" s="12">
        <f>SUM(E57:K57)</f>
        <v>5042</v>
      </c>
      <c r="M57" s="5"/>
      <c r="N57" s="5"/>
      <c r="O57" s="5"/>
      <c r="P57" s="5"/>
      <c r="Q57" s="5"/>
      <c r="R57" s="5"/>
      <c r="S57" s="5"/>
      <c r="T57" s="5"/>
      <c r="U57" s="5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23.4" hidden="1" x14ac:dyDescent="0.75">
      <c r="A58" s="12">
        <v>29</v>
      </c>
      <c r="B58" s="34" t="s">
        <v>37</v>
      </c>
      <c r="C58" s="12" t="s">
        <v>65</v>
      </c>
      <c r="D58" s="32" t="s">
        <v>46</v>
      </c>
      <c r="E58" s="12">
        <v>1723</v>
      </c>
      <c r="F58" s="12">
        <v>718</v>
      </c>
      <c r="G58" s="12">
        <v>229</v>
      </c>
      <c r="H58" s="12">
        <v>114</v>
      </c>
      <c r="I58" s="12">
        <v>28</v>
      </c>
      <c r="J58" s="12">
        <v>28</v>
      </c>
      <c r="K58" s="12">
        <v>28</v>
      </c>
      <c r="L58" s="12">
        <f>SUM(E58:K58)</f>
        <v>2868</v>
      </c>
      <c r="M58" s="5"/>
      <c r="N58" s="5"/>
      <c r="O58" s="5"/>
      <c r="P58" s="5"/>
      <c r="Q58" s="5"/>
      <c r="R58" s="5"/>
      <c r="S58" s="5"/>
      <c r="T58" s="5"/>
      <c r="U58" s="5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23.4" x14ac:dyDescent="0.75">
      <c r="A59" s="12">
        <v>29</v>
      </c>
      <c r="B59" s="34" t="s">
        <v>37</v>
      </c>
      <c r="C59" s="12" t="s">
        <v>57</v>
      </c>
      <c r="D59" s="32" t="s">
        <v>47</v>
      </c>
      <c r="E59" s="12">
        <v>973</v>
      </c>
      <c r="F59" s="12">
        <v>374</v>
      </c>
      <c r="G59" s="12">
        <v>89</v>
      </c>
      <c r="H59" s="12">
        <v>29</v>
      </c>
      <c r="I59" s="12">
        <v>14</v>
      </c>
      <c r="J59" s="12">
        <v>7</v>
      </c>
      <c r="K59" s="12">
        <v>7</v>
      </c>
      <c r="L59" s="12">
        <f>SUM(E59:K59)</f>
        <v>1493</v>
      </c>
      <c r="M59" s="5"/>
      <c r="N59" s="5"/>
      <c r="O59" s="5"/>
      <c r="P59" s="5"/>
      <c r="Q59" s="5"/>
      <c r="R59" s="5"/>
      <c r="S59" s="5"/>
      <c r="T59" s="5"/>
      <c r="U59" s="5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23.4" hidden="1" x14ac:dyDescent="0.75">
      <c r="A60" s="12">
        <v>30</v>
      </c>
      <c r="B60" s="34" t="s">
        <v>38</v>
      </c>
      <c r="C60" s="12" t="s">
        <v>67</v>
      </c>
      <c r="D60" s="32" t="s">
        <v>46</v>
      </c>
      <c r="E60" s="12">
        <v>495</v>
      </c>
      <c r="F60" s="12">
        <v>190</v>
      </c>
      <c r="G60" s="12">
        <v>45</v>
      </c>
      <c r="H60" s="12">
        <v>15</v>
      </c>
      <c r="I60" s="12">
        <v>7</v>
      </c>
      <c r="J60" s="12">
        <v>4</v>
      </c>
      <c r="K60" s="12">
        <v>4</v>
      </c>
      <c r="L60" s="12">
        <f>SUM(E60:K60)</f>
        <v>760</v>
      </c>
      <c r="M60" s="5"/>
      <c r="N60" s="5"/>
      <c r="O60" s="5"/>
      <c r="P60" s="5"/>
      <c r="Q60" s="5"/>
      <c r="R60" s="5"/>
      <c r="S60" s="5"/>
      <c r="T60" s="5"/>
      <c r="U60" s="5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23.4" x14ac:dyDescent="0.75">
      <c r="A61" s="12">
        <v>30</v>
      </c>
      <c r="B61" s="34" t="s">
        <v>38</v>
      </c>
      <c r="C61" s="12" t="s">
        <v>65</v>
      </c>
      <c r="D61" s="32" t="s">
        <v>47</v>
      </c>
      <c r="E61" s="12">
        <v>1043</v>
      </c>
      <c r="F61" s="12">
        <v>401</v>
      </c>
      <c r="G61" s="12">
        <v>96</v>
      </c>
      <c r="H61" s="12">
        <v>32</v>
      </c>
      <c r="I61" s="12">
        <v>16</v>
      </c>
      <c r="J61" s="12">
        <v>8</v>
      </c>
      <c r="K61" s="12">
        <v>8</v>
      </c>
      <c r="L61" s="12">
        <f>SUM(E61:K61)</f>
        <v>1604</v>
      </c>
      <c r="M61" s="5"/>
      <c r="N61" s="5"/>
      <c r="O61" s="5"/>
      <c r="P61" s="5"/>
      <c r="Q61" s="5"/>
      <c r="R61" s="5"/>
      <c r="S61" s="5"/>
      <c r="T61" s="5"/>
      <c r="U61" s="5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21.6" x14ac:dyDescent="0.65">
      <c r="A62" s="5"/>
      <c r="B62" s="5"/>
      <c r="C62" s="5"/>
      <c r="D62" s="3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21.6" x14ac:dyDescent="0.65">
      <c r="A63" s="5"/>
      <c r="B63" s="5"/>
      <c r="C63" s="5"/>
      <c r="D63" s="3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21.6" x14ac:dyDescent="0.65">
      <c r="A64" s="5"/>
      <c r="B64" s="5"/>
      <c r="C64" s="5"/>
      <c r="D64" s="3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21.6" x14ac:dyDescent="0.65">
      <c r="A65" s="5"/>
      <c r="B65" s="5"/>
      <c r="C65" s="5"/>
      <c r="D65" s="3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21.6" x14ac:dyDescent="0.65">
      <c r="A66" s="5"/>
      <c r="B66" s="5"/>
      <c r="C66" s="5"/>
      <c r="D66" s="3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21.6" x14ac:dyDescent="0.65">
      <c r="A67" s="5"/>
      <c r="B67" s="5"/>
      <c r="C67" s="5"/>
      <c r="D67" s="3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21.6" x14ac:dyDescent="0.65">
      <c r="A68" s="5"/>
      <c r="B68" s="5"/>
      <c r="C68" s="5"/>
      <c r="D68" s="3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21.6" x14ac:dyDescent="0.65">
      <c r="A69" s="5"/>
      <c r="B69" s="5"/>
      <c r="C69" s="5"/>
      <c r="D69" s="3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21.6" x14ac:dyDescent="0.65">
      <c r="A70" s="5"/>
      <c r="B70" s="5"/>
      <c r="C70" s="5"/>
      <c r="D70" s="3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21.6" x14ac:dyDescent="0.65">
      <c r="A71" s="5"/>
      <c r="B71" s="5"/>
      <c r="C71" s="5"/>
      <c r="D71" s="3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21.6" x14ac:dyDescent="0.65">
      <c r="A72" s="5"/>
      <c r="B72" s="5"/>
      <c r="C72" s="5"/>
      <c r="D72" s="3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21.6" x14ac:dyDescent="0.65">
      <c r="A73" s="5"/>
      <c r="B73" s="5"/>
      <c r="C73" s="5"/>
      <c r="D73" s="3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21.6" x14ac:dyDescent="0.65">
      <c r="A74" s="5"/>
      <c r="B74" s="5"/>
      <c r="C74" s="5"/>
      <c r="D74" s="3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21.6" x14ac:dyDescent="0.65">
      <c r="A75" s="5"/>
      <c r="B75" s="5"/>
      <c r="C75" s="5"/>
      <c r="D75" s="3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21.6" x14ac:dyDescent="0.65">
      <c r="A76" s="5"/>
      <c r="B76" s="5"/>
      <c r="C76" s="5"/>
      <c r="D76" s="3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21.6" x14ac:dyDescent="0.65">
      <c r="A77" s="5"/>
      <c r="B77" s="5"/>
      <c r="C77" s="5"/>
      <c r="D77" s="3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21.6" x14ac:dyDescent="0.65">
      <c r="A78" s="5"/>
      <c r="B78" s="5"/>
      <c r="C78" s="5"/>
      <c r="D78" s="3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21.6" x14ac:dyDescent="0.65">
      <c r="A79" s="5"/>
      <c r="B79" s="5"/>
      <c r="C79" s="5"/>
      <c r="D79" s="3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21.6" x14ac:dyDescent="0.65">
      <c r="A80" s="5"/>
      <c r="B80" s="5"/>
      <c r="C80" s="5"/>
      <c r="D80" s="3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21.6" x14ac:dyDescent="0.65">
      <c r="A81" s="5"/>
      <c r="B81" s="5"/>
      <c r="C81" s="5"/>
      <c r="D81" s="3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21.6" x14ac:dyDescent="0.65">
      <c r="A82" s="5"/>
      <c r="B82" s="5"/>
      <c r="C82" s="5"/>
      <c r="D82" s="3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21.6" x14ac:dyDescent="0.65">
      <c r="A83" s="5"/>
      <c r="B83" s="5"/>
      <c r="C83" s="5"/>
      <c r="D83" s="3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21.6" x14ac:dyDescent="0.65">
      <c r="A84" s="5"/>
      <c r="B84" s="5"/>
      <c r="C84" s="5"/>
      <c r="D84" s="3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21.6" x14ac:dyDescent="0.65">
      <c r="A85" s="5"/>
      <c r="B85" s="5"/>
      <c r="C85" s="5"/>
      <c r="D85" s="3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21.6" x14ac:dyDescent="0.65">
      <c r="A86" s="5"/>
      <c r="B86" s="5"/>
      <c r="C86" s="5"/>
      <c r="D86" s="3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</sheetData>
  <autoFilter ref="A1:L61" xr:uid="{70607C89-B193-40DA-97D4-79CE7E31976F}">
    <filterColumn colId="3">
      <filters>
        <filter val="60*120"/>
      </filters>
    </filterColumn>
    <sortState xmlns:xlrd2="http://schemas.microsoft.com/office/spreadsheetml/2017/richdata2" ref="A3:L61">
      <sortCondition ref="B1:B61"/>
    </sortState>
  </autoFilter>
  <sortState xmlns:xlrd2="http://schemas.microsoft.com/office/spreadsheetml/2017/richdata2" ref="A2:L61">
    <sortCondition ref="D1:D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6124-FFED-4956-8BF0-6B08474CFA81}">
  <dimension ref="A1:T2158"/>
  <sheetViews>
    <sheetView rightToLeft="1" workbookViewId="0">
      <selection activeCell="A10" sqref="A10"/>
    </sheetView>
  </sheetViews>
  <sheetFormatPr defaultRowHeight="23.4" x14ac:dyDescent="0.75"/>
  <cols>
    <col min="1" max="1" width="5.59765625" style="12" customWidth="1"/>
    <col min="2" max="2" width="13.296875" style="12" customWidth="1"/>
    <col min="3" max="3" width="10.09765625" style="21" customWidth="1"/>
    <col min="4" max="4" width="11.09765625" style="12" customWidth="1"/>
    <col min="5" max="6" width="8.796875" style="12"/>
    <col min="7" max="7" width="10.796875" style="12" customWidth="1"/>
    <col min="8" max="8" width="12.296875" style="12" customWidth="1"/>
    <col min="9" max="9" width="14.09765625" style="12" customWidth="1"/>
    <col min="10" max="10" width="14.59765625" style="12" customWidth="1"/>
    <col min="11" max="11" width="12.3984375" style="21" customWidth="1"/>
    <col min="12" max="12" width="10.296875" style="12" customWidth="1"/>
    <col min="13" max="16" width="8.796875" style="12"/>
    <col min="17" max="17" width="11" style="12" customWidth="1"/>
    <col min="18" max="18" width="13.3984375" style="12" bestFit="1" customWidth="1"/>
    <col min="19" max="19" width="14.3984375" style="12" customWidth="1"/>
    <col min="20" max="20" width="12.09765625" style="12" customWidth="1"/>
    <col min="21" max="21" width="10.19921875" style="12" customWidth="1"/>
    <col min="22" max="16384" width="8.796875" style="12"/>
  </cols>
  <sheetData>
    <row r="1" spans="1:20" x14ac:dyDescent="0.75">
      <c r="A1" s="21"/>
      <c r="B1" s="20"/>
      <c r="D1" s="26" t="s">
        <v>123</v>
      </c>
      <c r="E1" s="25"/>
      <c r="F1" s="25"/>
      <c r="G1" s="25"/>
      <c r="H1" s="20"/>
      <c r="I1" s="24"/>
      <c r="J1" s="20"/>
      <c r="K1" s="23"/>
      <c r="L1" s="20"/>
      <c r="M1" s="25" t="s">
        <v>108</v>
      </c>
      <c r="N1" s="25"/>
      <c r="O1" s="25"/>
      <c r="P1" s="25"/>
      <c r="Q1" s="25"/>
      <c r="R1" s="25"/>
      <c r="S1" s="25"/>
    </row>
    <row r="2" spans="1:20" x14ac:dyDescent="0.75">
      <c r="A2" s="21" t="s">
        <v>40</v>
      </c>
      <c r="B2" s="12" t="s">
        <v>106</v>
      </c>
      <c r="C2" s="23" t="s">
        <v>107</v>
      </c>
      <c r="D2" s="20" t="s">
        <v>116</v>
      </c>
      <c r="E2" s="20" t="s">
        <v>117</v>
      </c>
      <c r="F2" s="20" t="s">
        <v>118</v>
      </c>
      <c r="G2" s="20" t="s">
        <v>119</v>
      </c>
      <c r="H2" s="20" t="s">
        <v>120</v>
      </c>
      <c r="I2" s="20" t="s">
        <v>121</v>
      </c>
      <c r="J2" s="20" t="s">
        <v>122</v>
      </c>
      <c r="K2" s="21" t="s">
        <v>114</v>
      </c>
      <c r="L2" s="20" t="s">
        <v>107</v>
      </c>
      <c r="M2" s="20" t="s">
        <v>116</v>
      </c>
      <c r="N2" s="20" t="s">
        <v>117</v>
      </c>
      <c r="O2" s="20" t="s">
        <v>118</v>
      </c>
      <c r="P2" s="20" t="s">
        <v>119</v>
      </c>
      <c r="Q2" s="20" t="s">
        <v>120</v>
      </c>
      <c r="R2" s="20" t="s">
        <v>121</v>
      </c>
      <c r="S2" s="12" t="s">
        <v>122</v>
      </c>
      <c r="T2" s="20" t="s">
        <v>114</v>
      </c>
    </row>
    <row r="3" spans="1:20" x14ac:dyDescent="0.75">
      <c r="A3" s="21">
        <v>1</v>
      </c>
      <c r="B3" s="35" t="s">
        <v>73</v>
      </c>
      <c r="C3" s="33" t="s">
        <v>46</v>
      </c>
      <c r="D3" s="29">
        <f>SUMIFS('بسته بندی '!E:E,B:B,B3,'بسته بندی '!D:D,"60*60")</f>
        <v>0</v>
      </c>
      <c r="E3" s="29"/>
      <c r="F3" s="29"/>
      <c r="G3" s="29"/>
      <c r="H3" s="29"/>
      <c r="I3" s="29"/>
      <c r="J3" s="29"/>
      <c r="K3" s="30"/>
      <c r="L3" s="32">
        <v>0.72</v>
      </c>
      <c r="M3" s="29"/>
      <c r="N3" s="29"/>
      <c r="O3" s="29"/>
      <c r="P3" s="29"/>
      <c r="Q3" s="29"/>
      <c r="R3" s="13"/>
      <c r="T3" s="20"/>
    </row>
    <row r="4" spans="1:20" x14ac:dyDescent="0.75">
      <c r="A4" s="21">
        <v>2</v>
      </c>
      <c r="B4" s="35" t="s">
        <v>74</v>
      </c>
      <c r="C4" s="33" t="s">
        <v>46</v>
      </c>
      <c r="D4" s="29">
        <v>3433</v>
      </c>
      <c r="E4" s="29">
        <v>1320</v>
      </c>
      <c r="F4" s="29">
        <v>316</v>
      </c>
      <c r="G4" s="29">
        <v>105</v>
      </c>
      <c r="H4" s="29">
        <v>52</v>
      </c>
      <c r="I4" s="29">
        <v>26</v>
      </c>
      <c r="J4" s="29">
        <v>26</v>
      </c>
      <c r="K4" s="30">
        <f>SUM(D4:J4)</f>
        <v>5278</v>
      </c>
      <c r="L4" s="32">
        <v>0.72</v>
      </c>
      <c r="M4" s="12">
        <v>2510</v>
      </c>
      <c r="N4" s="12">
        <v>1046</v>
      </c>
      <c r="O4" s="12">
        <v>334</v>
      </c>
      <c r="P4" s="12">
        <v>167</v>
      </c>
      <c r="Q4" s="12">
        <v>41</v>
      </c>
      <c r="R4" s="12">
        <v>41</v>
      </c>
      <c r="S4" s="12">
        <v>41</v>
      </c>
      <c r="T4" s="12">
        <f>SUM(M4:S4)</f>
        <v>4180</v>
      </c>
    </row>
    <row r="5" spans="1:20" x14ac:dyDescent="0.75">
      <c r="A5" s="21">
        <v>3</v>
      </c>
      <c r="B5" s="35" t="s">
        <v>75</v>
      </c>
      <c r="C5" s="33" t="s">
        <v>46</v>
      </c>
      <c r="D5" s="29">
        <v>2124</v>
      </c>
      <c r="E5" s="29">
        <v>424</v>
      </c>
      <c r="F5" s="31">
        <v>169</v>
      </c>
      <c r="G5" s="29">
        <v>56</v>
      </c>
      <c r="H5" s="29">
        <v>28</v>
      </c>
      <c r="I5" s="29">
        <v>14</v>
      </c>
      <c r="J5" s="29">
        <v>14</v>
      </c>
      <c r="K5" s="30">
        <f t="shared" ref="K5:K32" si="0">SUM(D5:J5)</f>
        <v>2829</v>
      </c>
      <c r="L5" s="32">
        <v>0.72</v>
      </c>
      <c r="M5" s="12">
        <v>1839</v>
      </c>
      <c r="N5" s="12">
        <v>707</v>
      </c>
      <c r="O5" s="12">
        <v>169</v>
      </c>
      <c r="P5" s="12">
        <v>56</v>
      </c>
      <c r="Q5" s="12">
        <v>28</v>
      </c>
      <c r="R5" s="12">
        <v>15</v>
      </c>
      <c r="S5" s="12">
        <v>15</v>
      </c>
      <c r="T5" s="12">
        <f t="shared" ref="T5:T32" si="1">SUM(M5:S5)</f>
        <v>2829</v>
      </c>
    </row>
    <row r="6" spans="1:20" x14ac:dyDescent="0.75">
      <c r="A6" s="21">
        <v>4</v>
      </c>
      <c r="B6" s="35" t="s">
        <v>76</v>
      </c>
      <c r="C6" s="33" t="s">
        <v>46</v>
      </c>
      <c r="D6" s="29">
        <v>637</v>
      </c>
      <c r="E6" s="29">
        <v>266</v>
      </c>
      <c r="F6" s="29">
        <v>84</v>
      </c>
      <c r="G6" s="29">
        <v>42</v>
      </c>
      <c r="H6" s="29">
        <v>10</v>
      </c>
      <c r="I6" s="29">
        <v>10</v>
      </c>
      <c r="J6" s="29">
        <v>10</v>
      </c>
      <c r="K6" s="30">
        <f t="shared" si="0"/>
        <v>1059</v>
      </c>
      <c r="L6" s="32">
        <v>0.72</v>
      </c>
      <c r="M6" s="12">
        <v>5478</v>
      </c>
      <c r="N6" s="12">
        <v>2107</v>
      </c>
      <c r="O6" s="12">
        <v>505</v>
      </c>
      <c r="P6" s="12">
        <v>168</v>
      </c>
      <c r="Q6" s="12">
        <v>84</v>
      </c>
      <c r="R6" s="12">
        <v>42</v>
      </c>
      <c r="S6" s="12">
        <v>42</v>
      </c>
      <c r="T6" s="12">
        <f t="shared" si="1"/>
        <v>8426</v>
      </c>
    </row>
    <row r="7" spans="1:20" x14ac:dyDescent="0.75">
      <c r="A7" s="21">
        <v>5</v>
      </c>
      <c r="B7" s="35" t="s">
        <v>77</v>
      </c>
      <c r="C7" s="33" t="s">
        <v>46</v>
      </c>
      <c r="D7" s="29">
        <v>766</v>
      </c>
      <c r="E7" s="29">
        <v>319</v>
      </c>
      <c r="F7" s="29">
        <v>102</v>
      </c>
      <c r="G7" s="29">
        <v>51</v>
      </c>
      <c r="H7" s="29">
        <v>12</v>
      </c>
      <c r="I7" s="29">
        <v>12</v>
      </c>
      <c r="J7" s="29">
        <v>12</v>
      </c>
      <c r="K7" s="30">
        <f t="shared" si="0"/>
        <v>1274</v>
      </c>
      <c r="L7" s="32">
        <v>0.72</v>
      </c>
      <c r="M7" s="12">
        <v>2765</v>
      </c>
      <c r="N7" s="12">
        <v>1152</v>
      </c>
      <c r="O7" s="12">
        <v>368</v>
      </c>
      <c r="P7" s="12">
        <v>184</v>
      </c>
      <c r="Q7" s="12">
        <v>46</v>
      </c>
      <c r="R7" s="12">
        <v>46</v>
      </c>
      <c r="S7" s="12">
        <v>46</v>
      </c>
      <c r="T7" s="12">
        <f t="shared" si="1"/>
        <v>4607</v>
      </c>
    </row>
    <row r="8" spans="1:20" x14ac:dyDescent="0.75">
      <c r="A8" s="21">
        <v>6</v>
      </c>
      <c r="B8" s="35" t="s">
        <v>78</v>
      </c>
      <c r="C8" s="33" t="s">
        <v>46</v>
      </c>
      <c r="D8" s="29">
        <v>2251</v>
      </c>
      <c r="E8" s="29">
        <v>938</v>
      </c>
      <c r="F8" s="29">
        <v>300</v>
      </c>
      <c r="G8" s="29">
        <v>150</v>
      </c>
      <c r="H8" s="29">
        <v>37</v>
      </c>
      <c r="I8" s="29">
        <v>37</v>
      </c>
      <c r="J8" s="29">
        <v>37</v>
      </c>
      <c r="K8" s="30">
        <f t="shared" si="0"/>
        <v>3750</v>
      </c>
      <c r="L8" s="32">
        <v>0.72</v>
      </c>
      <c r="M8" s="12">
        <v>1946</v>
      </c>
      <c r="N8" s="12">
        <v>748</v>
      </c>
      <c r="O8" s="12">
        <v>179</v>
      </c>
      <c r="P8" s="12">
        <v>60</v>
      </c>
      <c r="Q8" s="12">
        <v>29</v>
      </c>
      <c r="R8" s="12">
        <v>15</v>
      </c>
      <c r="S8" s="12">
        <v>15</v>
      </c>
      <c r="T8" s="12">
        <f t="shared" si="1"/>
        <v>2992</v>
      </c>
    </row>
    <row r="9" spans="1:20" x14ac:dyDescent="0.75">
      <c r="A9" s="21">
        <v>7</v>
      </c>
      <c r="B9" s="35" t="s">
        <v>79</v>
      </c>
      <c r="C9" s="33" t="s">
        <v>46</v>
      </c>
      <c r="D9" s="29">
        <v>451</v>
      </c>
      <c r="E9" s="29">
        <v>173</v>
      </c>
      <c r="F9" s="29">
        <v>41</v>
      </c>
      <c r="G9" s="29">
        <v>13</v>
      </c>
      <c r="H9" s="29">
        <v>6</v>
      </c>
      <c r="I9" s="29">
        <v>6</v>
      </c>
      <c r="J9" s="29">
        <v>3</v>
      </c>
      <c r="K9" s="30">
        <f t="shared" si="0"/>
        <v>693</v>
      </c>
      <c r="L9" s="32">
        <v>0.72</v>
      </c>
      <c r="M9" s="12">
        <v>2995</v>
      </c>
      <c r="N9" s="12">
        <v>1248</v>
      </c>
      <c r="O9" s="12">
        <v>399</v>
      </c>
      <c r="P9" s="12">
        <v>199</v>
      </c>
      <c r="Q9" s="12">
        <v>49</v>
      </c>
      <c r="R9" s="12">
        <v>49</v>
      </c>
      <c r="S9" s="12">
        <v>49</v>
      </c>
      <c r="T9" s="12">
        <f t="shared" si="1"/>
        <v>4988</v>
      </c>
    </row>
    <row r="10" spans="1:20" x14ac:dyDescent="0.75">
      <c r="A10" s="21">
        <v>8</v>
      </c>
      <c r="B10" s="35" t="s">
        <v>80</v>
      </c>
      <c r="C10" s="33" t="s">
        <v>46</v>
      </c>
      <c r="D10" s="29">
        <v>1062</v>
      </c>
      <c r="E10" s="29">
        <v>408</v>
      </c>
      <c r="F10" s="29">
        <v>98</v>
      </c>
      <c r="G10" s="29">
        <v>32</v>
      </c>
      <c r="H10" s="29">
        <v>16</v>
      </c>
      <c r="I10" s="29">
        <v>8</v>
      </c>
      <c r="J10" s="29">
        <v>8</v>
      </c>
      <c r="K10" s="30">
        <f t="shared" si="0"/>
        <v>1632</v>
      </c>
      <c r="L10" s="32">
        <v>0.72</v>
      </c>
      <c r="M10" s="12">
        <v>4490</v>
      </c>
      <c r="N10" s="12">
        <v>898</v>
      </c>
      <c r="O10" s="12">
        <v>359</v>
      </c>
      <c r="P10" s="12">
        <v>119</v>
      </c>
      <c r="Q10" s="12">
        <v>59</v>
      </c>
      <c r="R10" s="12">
        <v>29</v>
      </c>
      <c r="S10" s="12">
        <v>29</v>
      </c>
      <c r="T10" s="12">
        <f t="shared" si="1"/>
        <v>5983</v>
      </c>
    </row>
    <row r="11" spans="1:20" x14ac:dyDescent="0.75">
      <c r="A11" s="21">
        <v>9</v>
      </c>
      <c r="B11" s="35" t="s">
        <v>81</v>
      </c>
      <c r="C11" s="33" t="s">
        <v>46</v>
      </c>
      <c r="D11" s="29">
        <v>1411</v>
      </c>
      <c r="E11" s="29">
        <v>588</v>
      </c>
      <c r="F11" s="29">
        <v>188</v>
      </c>
      <c r="G11" s="29">
        <v>94</v>
      </c>
      <c r="H11" s="29">
        <v>23</v>
      </c>
      <c r="I11" s="29">
        <v>23</v>
      </c>
      <c r="J11" s="29">
        <v>23</v>
      </c>
      <c r="K11" s="30">
        <f t="shared" si="0"/>
        <v>2350</v>
      </c>
      <c r="L11" s="32">
        <v>0.72</v>
      </c>
      <c r="M11" s="12">
        <v>934</v>
      </c>
      <c r="N11" s="12">
        <v>389</v>
      </c>
      <c r="O11" s="12">
        <v>124</v>
      </c>
      <c r="P11" s="12">
        <v>62</v>
      </c>
      <c r="Q11" s="12">
        <v>15</v>
      </c>
      <c r="R11" s="12">
        <v>15</v>
      </c>
      <c r="S11" s="12">
        <v>15</v>
      </c>
      <c r="T11" s="12">
        <f t="shared" si="1"/>
        <v>1554</v>
      </c>
    </row>
    <row r="12" spans="1:20" x14ac:dyDescent="0.75">
      <c r="A12" s="21">
        <v>10</v>
      </c>
      <c r="B12" s="35" t="s">
        <v>82</v>
      </c>
      <c r="C12" s="33" t="s">
        <v>46</v>
      </c>
      <c r="D12" s="29">
        <v>362</v>
      </c>
      <c r="E12" s="29">
        <v>139</v>
      </c>
      <c r="F12" s="29">
        <v>33</v>
      </c>
      <c r="G12" s="29">
        <v>11</v>
      </c>
      <c r="H12" s="29">
        <v>5</v>
      </c>
      <c r="I12" s="29">
        <v>2</v>
      </c>
      <c r="J12" s="29">
        <v>2</v>
      </c>
      <c r="K12" s="30">
        <f t="shared" si="0"/>
        <v>554</v>
      </c>
      <c r="L12" s="32">
        <v>0.72</v>
      </c>
      <c r="M12" s="12">
        <v>3757</v>
      </c>
      <c r="N12" s="12">
        <v>1565</v>
      </c>
      <c r="O12" s="12">
        <v>501</v>
      </c>
      <c r="P12" s="12">
        <v>250</v>
      </c>
      <c r="Q12" s="12">
        <v>62</v>
      </c>
      <c r="R12" s="12">
        <v>62</v>
      </c>
      <c r="S12" s="12">
        <v>62</v>
      </c>
      <c r="T12" s="12">
        <f t="shared" si="1"/>
        <v>6259</v>
      </c>
    </row>
    <row r="13" spans="1:20" x14ac:dyDescent="0.75">
      <c r="A13" s="21">
        <v>11</v>
      </c>
      <c r="B13" s="35" t="s">
        <v>83</v>
      </c>
      <c r="C13" s="33" t="s">
        <v>46</v>
      </c>
      <c r="D13" s="29">
        <v>1032</v>
      </c>
      <c r="E13" s="29">
        <v>430</v>
      </c>
      <c r="F13" s="29">
        <v>137</v>
      </c>
      <c r="G13" s="29">
        <v>68</v>
      </c>
      <c r="H13" s="29">
        <v>17</v>
      </c>
      <c r="I13" s="29">
        <v>17</v>
      </c>
      <c r="J13" s="29">
        <v>17</v>
      </c>
      <c r="K13" s="30">
        <f t="shared" si="0"/>
        <v>1718</v>
      </c>
      <c r="L13" s="32">
        <v>0.72</v>
      </c>
      <c r="M13" s="12">
        <v>1251</v>
      </c>
      <c r="N13" s="12">
        <v>481</v>
      </c>
      <c r="O13" s="12">
        <v>115</v>
      </c>
      <c r="P13" s="12">
        <v>38</v>
      </c>
      <c r="Q13" s="12">
        <v>19</v>
      </c>
      <c r="R13" s="12">
        <v>9</v>
      </c>
      <c r="S13" s="12">
        <v>9</v>
      </c>
      <c r="T13" s="12">
        <f t="shared" si="1"/>
        <v>1922</v>
      </c>
    </row>
    <row r="14" spans="1:20" x14ac:dyDescent="0.75">
      <c r="A14" s="21">
        <v>12</v>
      </c>
      <c r="B14" s="35" t="s">
        <v>84</v>
      </c>
      <c r="C14" s="33" t="s">
        <v>46</v>
      </c>
      <c r="D14" s="29">
        <v>549</v>
      </c>
      <c r="E14" s="29">
        <v>211</v>
      </c>
      <c r="F14" s="29">
        <v>50</v>
      </c>
      <c r="G14" s="29">
        <v>16</v>
      </c>
      <c r="H14" s="29">
        <v>8</v>
      </c>
      <c r="I14" s="29">
        <v>4</v>
      </c>
      <c r="J14" s="29">
        <v>4</v>
      </c>
      <c r="K14" s="30">
        <f t="shared" si="0"/>
        <v>842</v>
      </c>
      <c r="L14" s="32">
        <v>0.72</v>
      </c>
      <c r="M14" s="12">
        <v>1155</v>
      </c>
      <c r="N14" s="12">
        <v>481</v>
      </c>
      <c r="O14" s="12">
        <v>154</v>
      </c>
      <c r="P14" s="12">
        <v>77</v>
      </c>
      <c r="Q14" s="12">
        <v>19</v>
      </c>
      <c r="R14" s="12">
        <v>19</v>
      </c>
      <c r="S14" s="12">
        <v>19</v>
      </c>
      <c r="T14" s="12">
        <f t="shared" si="1"/>
        <v>1924</v>
      </c>
    </row>
    <row r="15" spans="1:20" x14ac:dyDescent="0.75">
      <c r="A15" s="21">
        <v>13</v>
      </c>
      <c r="B15" s="35" t="s">
        <v>85</v>
      </c>
      <c r="C15" s="33" t="s">
        <v>46</v>
      </c>
      <c r="D15" s="29">
        <v>545</v>
      </c>
      <c r="E15" s="29">
        <v>209</v>
      </c>
      <c r="F15" s="29">
        <v>50</v>
      </c>
      <c r="G15" s="29">
        <v>16</v>
      </c>
      <c r="H15" s="29">
        <v>8</v>
      </c>
      <c r="I15" s="29">
        <v>4</v>
      </c>
      <c r="J15" s="29">
        <v>4</v>
      </c>
      <c r="K15" s="30">
        <f t="shared" si="0"/>
        <v>836</v>
      </c>
      <c r="L15" s="32">
        <v>0.72</v>
      </c>
      <c r="M15" s="12">
        <v>1788</v>
      </c>
      <c r="N15" s="12">
        <v>687</v>
      </c>
      <c r="O15" s="12">
        <v>165</v>
      </c>
      <c r="P15" s="12">
        <v>55</v>
      </c>
      <c r="Q15" s="12">
        <v>27</v>
      </c>
      <c r="R15" s="12">
        <v>13</v>
      </c>
      <c r="S15" s="12">
        <v>13</v>
      </c>
      <c r="T15" s="12">
        <f t="shared" si="1"/>
        <v>2748</v>
      </c>
    </row>
    <row r="16" spans="1:20" x14ac:dyDescent="0.75">
      <c r="A16" s="21">
        <v>14</v>
      </c>
      <c r="B16" s="35" t="s">
        <v>86</v>
      </c>
      <c r="C16" s="33" t="s">
        <v>46</v>
      </c>
      <c r="D16" s="29">
        <v>1355</v>
      </c>
      <c r="E16" s="29">
        <v>521</v>
      </c>
      <c r="F16" s="29">
        <v>125</v>
      </c>
      <c r="G16" s="29">
        <v>41</v>
      </c>
      <c r="H16" s="29">
        <v>20</v>
      </c>
      <c r="I16" s="29">
        <v>10</v>
      </c>
      <c r="J16" s="29">
        <v>10</v>
      </c>
      <c r="K16" s="30">
        <f t="shared" si="0"/>
        <v>2082</v>
      </c>
      <c r="L16" s="32">
        <v>0.72</v>
      </c>
      <c r="M16" s="12">
        <v>1751</v>
      </c>
      <c r="N16" s="12">
        <v>729</v>
      </c>
      <c r="O16" s="12">
        <v>233</v>
      </c>
      <c r="P16" s="12">
        <v>116</v>
      </c>
      <c r="Q16" s="12">
        <v>29</v>
      </c>
      <c r="R16" s="12">
        <v>29</v>
      </c>
      <c r="S16" s="12">
        <v>29</v>
      </c>
      <c r="T16" s="12">
        <f t="shared" si="1"/>
        <v>2916</v>
      </c>
    </row>
    <row r="17" spans="1:20" x14ac:dyDescent="0.75">
      <c r="A17" s="21">
        <v>15</v>
      </c>
      <c r="B17" s="35" t="s">
        <v>87</v>
      </c>
      <c r="C17" s="33" t="s">
        <v>46</v>
      </c>
      <c r="D17" s="29">
        <v>1400</v>
      </c>
      <c r="E17" s="29">
        <v>538</v>
      </c>
      <c r="F17" s="29">
        <v>129</v>
      </c>
      <c r="G17" s="29">
        <v>43</v>
      </c>
      <c r="H17" s="29">
        <v>21</v>
      </c>
      <c r="I17" s="29">
        <v>10</v>
      </c>
      <c r="J17" s="29">
        <v>10</v>
      </c>
      <c r="K17" s="30">
        <f t="shared" si="0"/>
        <v>2151</v>
      </c>
      <c r="L17" s="32">
        <v>0.72</v>
      </c>
      <c r="M17" s="12">
        <v>2028</v>
      </c>
      <c r="N17" s="12">
        <v>780</v>
      </c>
      <c r="O17" s="12">
        <v>187</v>
      </c>
      <c r="P17" s="12">
        <v>62</v>
      </c>
      <c r="Q17" s="12">
        <v>31</v>
      </c>
      <c r="R17" s="12">
        <v>15</v>
      </c>
      <c r="S17" s="12">
        <v>15</v>
      </c>
      <c r="T17" s="12">
        <f t="shared" si="1"/>
        <v>3118</v>
      </c>
    </row>
    <row r="18" spans="1:20" x14ac:dyDescent="0.75">
      <c r="A18" s="21">
        <v>16</v>
      </c>
      <c r="B18" s="35" t="s">
        <v>88</v>
      </c>
      <c r="C18" s="33" t="s">
        <v>46</v>
      </c>
      <c r="D18" s="29">
        <v>1014</v>
      </c>
      <c r="E18" s="29">
        <v>390</v>
      </c>
      <c r="F18" s="29">
        <v>93</v>
      </c>
      <c r="G18" s="29">
        <v>31</v>
      </c>
      <c r="H18" s="29">
        <v>15</v>
      </c>
      <c r="I18" s="29">
        <v>7</v>
      </c>
      <c r="J18" s="29">
        <v>7</v>
      </c>
      <c r="K18" s="30">
        <f t="shared" si="0"/>
        <v>1557</v>
      </c>
      <c r="L18" s="32">
        <v>0.72</v>
      </c>
      <c r="M18" s="12">
        <v>1792</v>
      </c>
      <c r="N18" s="12">
        <v>747</v>
      </c>
      <c r="O18" s="12">
        <v>239</v>
      </c>
      <c r="P18" s="12">
        <v>119</v>
      </c>
      <c r="Q18" s="12">
        <v>29</v>
      </c>
      <c r="R18" s="12">
        <v>29</v>
      </c>
      <c r="S18" s="12">
        <v>29</v>
      </c>
      <c r="T18" s="12">
        <f t="shared" si="1"/>
        <v>2984</v>
      </c>
    </row>
    <row r="19" spans="1:20" x14ac:dyDescent="0.75">
      <c r="A19" s="21">
        <v>17</v>
      </c>
      <c r="B19" s="35" t="s">
        <v>89</v>
      </c>
      <c r="C19" s="33" t="s">
        <v>46</v>
      </c>
      <c r="D19" s="29">
        <v>1038</v>
      </c>
      <c r="E19" s="29">
        <v>399</v>
      </c>
      <c r="F19" s="29">
        <v>95</v>
      </c>
      <c r="G19" s="29">
        <v>31</v>
      </c>
      <c r="H19" s="29">
        <v>15</v>
      </c>
      <c r="I19" s="29">
        <v>7</v>
      </c>
      <c r="J19" s="29">
        <v>7</v>
      </c>
      <c r="K19" s="30">
        <f t="shared" si="0"/>
        <v>1592</v>
      </c>
      <c r="L19" s="32">
        <v>0.72</v>
      </c>
      <c r="M19" s="12">
        <v>1129</v>
      </c>
      <c r="N19" s="12">
        <v>434</v>
      </c>
      <c r="O19" s="12">
        <v>104</v>
      </c>
      <c r="P19" s="12">
        <v>34</v>
      </c>
      <c r="Q19" s="12">
        <v>17</v>
      </c>
      <c r="R19" s="12">
        <v>8</v>
      </c>
      <c r="S19" s="12">
        <v>8</v>
      </c>
      <c r="T19" s="12">
        <f t="shared" si="1"/>
        <v>1734</v>
      </c>
    </row>
    <row r="20" spans="1:20" x14ac:dyDescent="0.75">
      <c r="A20" s="21">
        <v>18</v>
      </c>
      <c r="B20" s="35" t="s">
        <v>90</v>
      </c>
      <c r="C20" s="33" t="s">
        <v>46</v>
      </c>
      <c r="D20" s="29">
        <v>903</v>
      </c>
      <c r="E20" s="29">
        <v>347</v>
      </c>
      <c r="F20" s="29">
        <v>83</v>
      </c>
      <c r="G20" s="29">
        <v>27</v>
      </c>
      <c r="H20" s="29">
        <v>14</v>
      </c>
      <c r="I20" s="29">
        <v>7</v>
      </c>
      <c r="J20" s="29">
        <v>7</v>
      </c>
      <c r="K20" s="30">
        <f t="shared" si="0"/>
        <v>1388</v>
      </c>
      <c r="L20" s="32">
        <v>0.72</v>
      </c>
      <c r="M20" s="12">
        <v>1876</v>
      </c>
      <c r="N20" s="12">
        <v>781</v>
      </c>
      <c r="O20" s="12">
        <v>250</v>
      </c>
      <c r="P20" s="12">
        <v>125</v>
      </c>
      <c r="Q20" s="12">
        <v>31</v>
      </c>
      <c r="R20" s="12">
        <v>31</v>
      </c>
      <c r="S20" s="12">
        <v>31</v>
      </c>
      <c r="T20" s="12">
        <f t="shared" si="1"/>
        <v>3125</v>
      </c>
    </row>
    <row r="21" spans="1:20" x14ac:dyDescent="0.75">
      <c r="A21" s="21">
        <v>19</v>
      </c>
      <c r="B21" s="35" t="s">
        <v>91</v>
      </c>
      <c r="C21" s="33" t="s">
        <v>46</v>
      </c>
      <c r="D21" s="29">
        <v>949</v>
      </c>
      <c r="E21" s="29">
        <v>365</v>
      </c>
      <c r="F21" s="29">
        <v>87</v>
      </c>
      <c r="G21" s="29">
        <v>30</v>
      </c>
      <c r="H21" s="29">
        <v>15</v>
      </c>
      <c r="I21" s="29">
        <v>7</v>
      </c>
      <c r="J21" s="29">
        <v>7</v>
      </c>
      <c r="K21" s="30">
        <f t="shared" si="0"/>
        <v>1460</v>
      </c>
      <c r="L21" s="32">
        <v>0.72</v>
      </c>
      <c r="M21" s="12">
        <v>1834</v>
      </c>
      <c r="N21" s="12">
        <v>764</v>
      </c>
      <c r="O21" s="12">
        <v>244</v>
      </c>
      <c r="P21" s="12">
        <v>122</v>
      </c>
      <c r="Q21" s="12">
        <v>30</v>
      </c>
      <c r="R21" s="12">
        <v>30</v>
      </c>
      <c r="S21" s="12">
        <v>30</v>
      </c>
      <c r="T21" s="12">
        <f t="shared" si="1"/>
        <v>3054</v>
      </c>
    </row>
    <row r="22" spans="1:20" x14ac:dyDescent="0.75">
      <c r="A22" s="21">
        <v>20</v>
      </c>
      <c r="B22" s="35" t="s">
        <v>92</v>
      </c>
      <c r="C22" s="33" t="s">
        <v>46</v>
      </c>
      <c r="D22" s="29">
        <v>1006</v>
      </c>
      <c r="E22" s="29">
        <v>387</v>
      </c>
      <c r="F22" s="29">
        <v>92</v>
      </c>
      <c r="G22" s="29">
        <v>30</v>
      </c>
      <c r="H22" s="29">
        <v>16</v>
      </c>
      <c r="I22" s="29">
        <v>8</v>
      </c>
      <c r="J22" s="29">
        <v>8</v>
      </c>
      <c r="K22" s="30">
        <f t="shared" si="0"/>
        <v>1547</v>
      </c>
      <c r="L22" s="32">
        <v>0.72</v>
      </c>
      <c r="M22" s="12">
        <v>2662</v>
      </c>
      <c r="N22" s="12">
        <v>1109</v>
      </c>
      <c r="O22" s="12">
        <v>354</v>
      </c>
      <c r="P22" s="12">
        <v>177</v>
      </c>
      <c r="Q22" s="12">
        <v>44</v>
      </c>
      <c r="R22" s="12">
        <v>44</v>
      </c>
      <c r="S22" s="12">
        <v>44</v>
      </c>
      <c r="T22" s="12">
        <f t="shared" si="1"/>
        <v>4434</v>
      </c>
    </row>
    <row r="23" spans="1:20" x14ac:dyDescent="0.75">
      <c r="A23" s="21">
        <v>21</v>
      </c>
      <c r="B23" s="35" t="s">
        <v>93</v>
      </c>
      <c r="C23" s="33" t="s">
        <v>46</v>
      </c>
      <c r="D23" s="29">
        <v>2620</v>
      </c>
      <c r="E23" s="29">
        <v>1007</v>
      </c>
      <c r="F23" s="29">
        <v>241</v>
      </c>
      <c r="G23" s="29">
        <v>80</v>
      </c>
      <c r="H23" s="29">
        <v>40</v>
      </c>
      <c r="I23" s="29">
        <v>20</v>
      </c>
      <c r="J23" s="29">
        <v>20</v>
      </c>
      <c r="K23" s="30">
        <f t="shared" si="0"/>
        <v>4028</v>
      </c>
      <c r="L23" s="32">
        <v>0.72</v>
      </c>
      <c r="M23" s="12">
        <v>4956</v>
      </c>
      <c r="N23" s="12">
        <v>1906</v>
      </c>
      <c r="O23" s="12">
        <v>457</v>
      </c>
      <c r="P23" s="12">
        <v>152</v>
      </c>
      <c r="Q23" s="12">
        <v>76</v>
      </c>
      <c r="R23" s="12">
        <v>38</v>
      </c>
      <c r="S23" s="12">
        <v>37</v>
      </c>
      <c r="T23" s="12">
        <f t="shared" si="1"/>
        <v>7622</v>
      </c>
    </row>
    <row r="24" spans="1:20" x14ac:dyDescent="0.75">
      <c r="A24" s="21">
        <v>22</v>
      </c>
      <c r="B24" s="35" t="s">
        <v>94</v>
      </c>
      <c r="C24" s="33" t="s">
        <v>46</v>
      </c>
      <c r="D24" s="29">
        <v>3063</v>
      </c>
      <c r="E24" s="29">
        <v>612</v>
      </c>
      <c r="F24" s="29">
        <v>245</v>
      </c>
      <c r="G24" s="29">
        <v>81</v>
      </c>
      <c r="H24" s="29">
        <v>40</v>
      </c>
      <c r="I24" s="29">
        <v>20</v>
      </c>
      <c r="J24" s="29">
        <v>20</v>
      </c>
      <c r="K24" s="30">
        <f t="shared" si="0"/>
        <v>4081</v>
      </c>
      <c r="L24" s="32">
        <v>0.72</v>
      </c>
      <c r="M24" s="12">
        <v>1062</v>
      </c>
      <c r="N24" s="12">
        <v>408</v>
      </c>
      <c r="O24" s="12">
        <v>98</v>
      </c>
      <c r="P24" s="12">
        <v>32</v>
      </c>
      <c r="Q24" s="12">
        <v>16</v>
      </c>
      <c r="R24" s="12">
        <v>8</v>
      </c>
      <c r="S24" s="12">
        <v>8</v>
      </c>
      <c r="T24" s="12">
        <f t="shared" si="1"/>
        <v>1632</v>
      </c>
    </row>
    <row r="25" spans="1:20" x14ac:dyDescent="0.75">
      <c r="A25" s="21">
        <v>23</v>
      </c>
      <c r="B25" s="35" t="s">
        <v>95</v>
      </c>
      <c r="C25" s="33" t="s">
        <v>46</v>
      </c>
      <c r="D25" s="29">
        <v>531</v>
      </c>
      <c r="E25" s="29">
        <v>221</v>
      </c>
      <c r="F25" s="29">
        <v>70</v>
      </c>
      <c r="G25" s="29">
        <v>35</v>
      </c>
      <c r="H25" s="29">
        <v>8</v>
      </c>
      <c r="I25" s="29">
        <v>8</v>
      </c>
      <c r="J25" s="29">
        <v>8</v>
      </c>
      <c r="K25" s="30">
        <f t="shared" si="0"/>
        <v>881</v>
      </c>
      <c r="L25" s="32">
        <v>0.72</v>
      </c>
      <c r="M25" s="12">
        <v>1453</v>
      </c>
      <c r="N25" s="12">
        <v>605</v>
      </c>
      <c r="O25" s="12">
        <v>193</v>
      </c>
      <c r="P25" s="12">
        <v>96</v>
      </c>
      <c r="Q25" s="12">
        <v>24</v>
      </c>
      <c r="R25" s="12">
        <v>24</v>
      </c>
      <c r="S25" s="12">
        <v>24</v>
      </c>
      <c r="T25" s="12">
        <f t="shared" si="1"/>
        <v>2419</v>
      </c>
    </row>
    <row r="26" spans="1:20" x14ac:dyDescent="0.75">
      <c r="A26" s="21">
        <v>24</v>
      </c>
      <c r="B26" s="35" t="s">
        <v>96</v>
      </c>
      <c r="C26" s="33" t="s">
        <v>46</v>
      </c>
      <c r="D26" s="29">
        <v>710</v>
      </c>
      <c r="E26" s="29">
        <v>296</v>
      </c>
      <c r="F26" s="29">
        <v>94</v>
      </c>
      <c r="G26" s="29">
        <v>47</v>
      </c>
      <c r="H26" s="29">
        <v>11</v>
      </c>
      <c r="I26" s="29">
        <v>11</v>
      </c>
      <c r="J26" s="29">
        <v>11</v>
      </c>
      <c r="K26" s="30">
        <f t="shared" si="0"/>
        <v>1180</v>
      </c>
      <c r="L26" s="32">
        <v>0.72</v>
      </c>
      <c r="M26" s="12">
        <v>1241</v>
      </c>
      <c r="N26" s="12">
        <v>517</v>
      </c>
      <c r="O26" s="12">
        <v>165</v>
      </c>
      <c r="P26" s="12">
        <v>82</v>
      </c>
      <c r="Q26" s="12">
        <v>20</v>
      </c>
      <c r="R26" s="12">
        <v>20</v>
      </c>
      <c r="S26" s="12">
        <v>20</v>
      </c>
      <c r="T26" s="12">
        <f t="shared" si="1"/>
        <v>2065</v>
      </c>
    </row>
    <row r="27" spans="1:20" x14ac:dyDescent="0.75">
      <c r="A27" s="21">
        <v>25</v>
      </c>
      <c r="B27" s="35" t="s">
        <v>97</v>
      </c>
      <c r="C27" s="33" t="s">
        <v>46</v>
      </c>
      <c r="D27" s="29">
        <v>819</v>
      </c>
      <c r="E27" s="29">
        <v>341</v>
      </c>
      <c r="F27" s="29">
        <v>109</v>
      </c>
      <c r="G27" s="29">
        <v>54</v>
      </c>
      <c r="H27" s="29">
        <v>13</v>
      </c>
      <c r="I27" s="29">
        <v>13</v>
      </c>
      <c r="J27" s="29">
        <v>13</v>
      </c>
      <c r="K27" s="30">
        <f t="shared" si="0"/>
        <v>1362</v>
      </c>
      <c r="L27" s="32">
        <v>0.72</v>
      </c>
      <c r="M27" s="12">
        <v>2123</v>
      </c>
      <c r="N27" s="12">
        <v>816</v>
      </c>
      <c r="O27" s="12">
        <v>196</v>
      </c>
      <c r="P27" s="12">
        <v>65</v>
      </c>
      <c r="Q27" s="12">
        <v>32</v>
      </c>
      <c r="R27" s="12">
        <v>16</v>
      </c>
      <c r="S27" s="12">
        <v>16</v>
      </c>
      <c r="T27" s="12">
        <f t="shared" si="1"/>
        <v>3264</v>
      </c>
    </row>
    <row r="28" spans="1:20" x14ac:dyDescent="0.75">
      <c r="A28" s="21">
        <v>26</v>
      </c>
      <c r="B28" s="35" t="s">
        <v>98</v>
      </c>
      <c r="C28" s="33" t="s">
        <v>46</v>
      </c>
      <c r="D28" s="29">
        <v>1106</v>
      </c>
      <c r="E28" s="29">
        <v>425</v>
      </c>
      <c r="F28" s="29">
        <v>102</v>
      </c>
      <c r="G28" s="29">
        <v>34</v>
      </c>
      <c r="H28" s="29">
        <v>17</v>
      </c>
      <c r="I28" s="29">
        <v>9</v>
      </c>
      <c r="J28" s="29">
        <v>9</v>
      </c>
      <c r="K28" s="30">
        <f t="shared" si="0"/>
        <v>1702</v>
      </c>
      <c r="L28" s="32">
        <v>0.72</v>
      </c>
      <c r="M28" s="12">
        <v>2532</v>
      </c>
      <c r="N28" s="12">
        <v>1055</v>
      </c>
      <c r="O28" s="12">
        <v>337</v>
      </c>
      <c r="P28" s="12">
        <v>168</v>
      </c>
      <c r="Q28" s="12">
        <v>42</v>
      </c>
      <c r="R28" s="12">
        <v>42</v>
      </c>
      <c r="S28" s="12">
        <v>42</v>
      </c>
      <c r="T28" s="12">
        <f t="shared" si="1"/>
        <v>4218</v>
      </c>
    </row>
    <row r="29" spans="1:20" x14ac:dyDescent="0.75">
      <c r="A29" s="21">
        <v>27</v>
      </c>
      <c r="B29" s="35" t="s">
        <v>99</v>
      </c>
      <c r="C29" s="33" t="s">
        <v>46</v>
      </c>
      <c r="D29" s="29">
        <v>1459</v>
      </c>
      <c r="E29" s="29">
        <v>561</v>
      </c>
      <c r="F29" s="29">
        <v>134</v>
      </c>
      <c r="G29" s="29">
        <v>44</v>
      </c>
      <c r="H29" s="29">
        <v>22</v>
      </c>
      <c r="I29" s="29">
        <v>11</v>
      </c>
      <c r="J29" s="29">
        <v>11</v>
      </c>
      <c r="K29" s="30">
        <f t="shared" si="0"/>
        <v>2242</v>
      </c>
      <c r="L29" s="32">
        <v>0.72</v>
      </c>
      <c r="M29" s="12">
        <v>3097</v>
      </c>
      <c r="N29" s="12">
        <v>1191</v>
      </c>
      <c r="O29" s="12">
        <v>285</v>
      </c>
      <c r="P29" s="12">
        <v>95</v>
      </c>
      <c r="Q29" s="12">
        <v>47</v>
      </c>
      <c r="R29" s="12">
        <v>23</v>
      </c>
      <c r="S29" s="12">
        <v>23</v>
      </c>
      <c r="T29" s="12">
        <f t="shared" si="1"/>
        <v>4761</v>
      </c>
    </row>
    <row r="30" spans="1:20" x14ac:dyDescent="0.75">
      <c r="A30" s="21">
        <v>28</v>
      </c>
      <c r="B30" s="35" t="s">
        <v>100</v>
      </c>
      <c r="C30" s="33" t="s">
        <v>46</v>
      </c>
      <c r="D30" s="29">
        <v>1470</v>
      </c>
      <c r="E30" s="29">
        <v>612</v>
      </c>
      <c r="F30" s="29">
        <v>196</v>
      </c>
      <c r="G30" s="29">
        <v>98</v>
      </c>
      <c r="H30" s="29">
        <v>24</v>
      </c>
      <c r="I30" s="29">
        <v>24</v>
      </c>
      <c r="J30" s="29">
        <v>24</v>
      </c>
      <c r="K30" s="30">
        <f t="shared" si="0"/>
        <v>2448</v>
      </c>
      <c r="L30" s="32">
        <v>0.72</v>
      </c>
      <c r="M30" s="12">
        <v>3267</v>
      </c>
      <c r="N30" s="12">
        <v>1361</v>
      </c>
      <c r="O30" s="12">
        <v>35</v>
      </c>
      <c r="P30" s="12">
        <v>217</v>
      </c>
      <c r="Q30" s="12">
        <v>54</v>
      </c>
      <c r="R30" s="12">
        <v>54</v>
      </c>
      <c r="S30" s="12">
        <v>54</v>
      </c>
      <c r="T30" s="12">
        <f t="shared" si="1"/>
        <v>5042</v>
      </c>
    </row>
    <row r="31" spans="1:20" x14ac:dyDescent="0.75">
      <c r="A31" s="21">
        <v>29</v>
      </c>
      <c r="B31" s="35" t="s">
        <v>101</v>
      </c>
      <c r="C31" s="33" t="s">
        <v>46</v>
      </c>
      <c r="D31" s="29">
        <v>1723</v>
      </c>
      <c r="E31" s="29">
        <v>718</v>
      </c>
      <c r="F31" s="29">
        <v>229</v>
      </c>
      <c r="G31" s="29">
        <v>114</v>
      </c>
      <c r="H31" s="29">
        <v>28</v>
      </c>
      <c r="I31" s="29">
        <v>28</v>
      </c>
      <c r="J31" s="29">
        <v>28</v>
      </c>
      <c r="K31" s="30">
        <f t="shared" si="0"/>
        <v>2868</v>
      </c>
      <c r="L31" s="32">
        <v>0.72</v>
      </c>
      <c r="M31" s="12">
        <v>973</v>
      </c>
      <c r="N31" s="12">
        <v>374</v>
      </c>
      <c r="O31" s="12">
        <v>89</v>
      </c>
      <c r="P31" s="12">
        <v>29</v>
      </c>
      <c r="Q31" s="12">
        <v>14</v>
      </c>
      <c r="R31" s="12">
        <v>7</v>
      </c>
      <c r="S31" s="12">
        <v>7</v>
      </c>
      <c r="T31" s="12">
        <f t="shared" si="1"/>
        <v>1493</v>
      </c>
    </row>
    <row r="32" spans="1:20" x14ac:dyDescent="0.75">
      <c r="A32" s="21">
        <v>30</v>
      </c>
      <c r="B32" s="35" t="s">
        <v>102</v>
      </c>
      <c r="C32" s="33" t="s">
        <v>46</v>
      </c>
      <c r="D32" s="29">
        <v>495</v>
      </c>
      <c r="E32" s="29">
        <v>190</v>
      </c>
      <c r="F32" s="29">
        <v>45</v>
      </c>
      <c r="G32" s="29">
        <v>15</v>
      </c>
      <c r="H32" s="29">
        <v>7</v>
      </c>
      <c r="I32" s="29">
        <v>4</v>
      </c>
      <c r="J32" s="29">
        <v>4</v>
      </c>
      <c r="K32" s="30">
        <f t="shared" si="0"/>
        <v>760</v>
      </c>
      <c r="L32" s="32">
        <v>0.72</v>
      </c>
      <c r="M32" s="12">
        <v>1043</v>
      </c>
      <c r="N32" s="12">
        <v>401</v>
      </c>
      <c r="O32" s="12">
        <v>96</v>
      </c>
      <c r="P32" s="12">
        <v>32</v>
      </c>
      <c r="Q32" s="12">
        <v>16</v>
      </c>
      <c r="R32" s="12">
        <v>8</v>
      </c>
      <c r="S32" s="12">
        <v>8</v>
      </c>
      <c r="T32" s="12">
        <f t="shared" si="1"/>
        <v>1604</v>
      </c>
    </row>
    <row r="33" spans="1:20" x14ac:dyDescent="0.75">
      <c r="A33" s="21"/>
      <c r="B33" s="28"/>
      <c r="D33" s="20"/>
      <c r="E33" s="20"/>
      <c r="F33" s="20"/>
      <c r="G33" s="20"/>
      <c r="H33" s="20"/>
      <c r="I33" s="20"/>
      <c r="J33" s="20"/>
      <c r="K33" s="30">
        <f>SUM(K4:K32)</f>
        <v>56144</v>
      </c>
      <c r="L33" s="20"/>
      <c r="M33" s="20"/>
      <c r="N33" s="20"/>
      <c r="O33" s="20"/>
      <c r="P33" s="20"/>
      <c r="Q33" s="20"/>
      <c r="T33" s="12">
        <f>SUM(T3:T32)</f>
        <v>103897</v>
      </c>
    </row>
    <row r="34" spans="1:20" x14ac:dyDescent="0.75">
      <c r="A34" s="21"/>
      <c r="B34" s="28"/>
      <c r="D34" s="20"/>
      <c r="E34" s="20"/>
      <c r="F34" s="20"/>
      <c r="G34" s="20"/>
      <c r="H34" s="20"/>
      <c r="I34" s="20"/>
      <c r="J34" s="20"/>
      <c r="L34" s="20"/>
      <c r="M34" s="20"/>
      <c r="N34" s="20"/>
      <c r="O34" s="20"/>
      <c r="P34" s="20"/>
      <c r="Q34" s="20"/>
    </row>
    <row r="35" spans="1:20" x14ac:dyDescent="0.75">
      <c r="A35" s="21"/>
      <c r="B35" s="28"/>
      <c r="D35" s="20"/>
      <c r="E35" s="20"/>
      <c r="F35" s="20"/>
      <c r="G35" s="20"/>
      <c r="H35" s="20"/>
      <c r="I35" s="20"/>
      <c r="J35" s="20"/>
      <c r="L35" s="20"/>
      <c r="M35" s="20"/>
      <c r="N35" s="20"/>
      <c r="O35" s="20"/>
      <c r="P35" s="20"/>
      <c r="Q35" s="20"/>
    </row>
    <row r="36" spans="1:20" x14ac:dyDescent="0.75">
      <c r="A36" s="21"/>
      <c r="B36" s="28"/>
      <c r="D36" s="20"/>
      <c r="E36" s="20"/>
      <c r="F36" s="20"/>
      <c r="G36" s="20"/>
      <c r="H36" s="20"/>
      <c r="I36" s="20"/>
      <c r="J36" s="20"/>
      <c r="L36" s="20"/>
      <c r="M36" s="20"/>
      <c r="N36" s="20"/>
      <c r="O36" s="20"/>
      <c r="P36" s="20"/>
      <c r="Q36" s="20"/>
    </row>
    <row r="37" spans="1:20" x14ac:dyDescent="0.75">
      <c r="A37" s="21"/>
      <c r="B37" s="28"/>
      <c r="D37" s="20"/>
      <c r="E37" s="20"/>
      <c r="F37" s="20"/>
      <c r="G37" s="20"/>
      <c r="H37" s="20"/>
      <c r="I37" s="20"/>
      <c r="J37" s="20"/>
      <c r="L37" s="20"/>
      <c r="M37" s="20"/>
      <c r="N37" s="20"/>
      <c r="O37" s="20"/>
      <c r="P37" s="20"/>
      <c r="Q37" s="20"/>
    </row>
    <row r="38" spans="1:20" x14ac:dyDescent="0.75">
      <c r="A38" s="21"/>
      <c r="B38" s="28"/>
      <c r="D38" s="20"/>
      <c r="E38" s="20"/>
      <c r="F38" s="20"/>
      <c r="G38" s="20"/>
      <c r="H38" s="20"/>
      <c r="I38" s="20"/>
      <c r="J38" s="20"/>
      <c r="L38" s="20"/>
      <c r="M38" s="20"/>
      <c r="N38" s="20"/>
      <c r="O38" s="20"/>
      <c r="P38" s="20"/>
      <c r="Q38" s="20"/>
    </row>
    <row r="39" spans="1:20" x14ac:dyDescent="0.75">
      <c r="A39" s="21"/>
      <c r="B39" s="28"/>
      <c r="D39" s="20"/>
      <c r="E39" s="20"/>
      <c r="F39" s="20"/>
      <c r="G39" s="20"/>
      <c r="H39" s="20"/>
      <c r="I39" s="20"/>
      <c r="J39" s="20"/>
      <c r="L39" s="20"/>
      <c r="M39" s="20"/>
      <c r="N39" s="20"/>
      <c r="O39" s="20"/>
      <c r="P39" s="20"/>
      <c r="Q39" s="20"/>
    </row>
    <row r="40" spans="1:20" x14ac:dyDescent="0.75">
      <c r="A40" s="21"/>
      <c r="B40" s="28"/>
      <c r="D40" s="20"/>
      <c r="E40" s="20"/>
      <c r="F40" s="20"/>
      <c r="G40" s="20"/>
      <c r="H40" s="20"/>
      <c r="I40" s="20"/>
      <c r="J40" s="20"/>
      <c r="L40" s="20"/>
      <c r="M40" s="20"/>
      <c r="N40" s="20"/>
      <c r="O40" s="20"/>
      <c r="P40" s="20"/>
      <c r="Q40" s="20"/>
    </row>
    <row r="41" spans="1:20" x14ac:dyDescent="0.75">
      <c r="A41" s="21"/>
      <c r="B41" s="28"/>
      <c r="D41" s="20"/>
      <c r="E41" s="20"/>
      <c r="F41" s="20"/>
      <c r="G41" s="20"/>
      <c r="H41" s="20"/>
      <c r="I41" s="20"/>
      <c r="J41" s="20"/>
      <c r="L41" s="20"/>
      <c r="M41" s="20"/>
      <c r="N41" s="20"/>
      <c r="O41" s="20"/>
      <c r="P41" s="20"/>
      <c r="Q41" s="20"/>
    </row>
    <row r="42" spans="1:20" x14ac:dyDescent="0.75">
      <c r="A42" s="21"/>
      <c r="B42" s="28"/>
      <c r="D42" s="20"/>
      <c r="E42" s="20"/>
      <c r="F42" s="20"/>
      <c r="G42" s="20"/>
      <c r="H42" s="20"/>
      <c r="I42" s="20"/>
      <c r="J42" s="20"/>
      <c r="L42" s="20"/>
      <c r="M42" s="20"/>
      <c r="N42" s="20"/>
      <c r="O42" s="20"/>
      <c r="P42" s="20"/>
      <c r="Q42" s="20"/>
    </row>
    <row r="43" spans="1:20" x14ac:dyDescent="0.75">
      <c r="A43" s="21"/>
      <c r="B43" s="28"/>
      <c r="D43" s="20"/>
      <c r="E43" s="20"/>
      <c r="F43" s="20"/>
      <c r="G43" s="20"/>
      <c r="H43" s="20"/>
      <c r="I43" s="20"/>
      <c r="J43" s="20"/>
      <c r="L43" s="20"/>
      <c r="M43" s="20"/>
      <c r="N43" s="20"/>
      <c r="O43" s="20"/>
      <c r="P43" s="20"/>
      <c r="Q43" s="20"/>
    </row>
    <row r="44" spans="1:20" x14ac:dyDescent="0.75">
      <c r="A44" s="21"/>
      <c r="B44" s="28"/>
      <c r="D44" s="20"/>
      <c r="E44" s="20"/>
      <c r="F44" s="20"/>
      <c r="G44" s="20"/>
      <c r="H44" s="20"/>
      <c r="I44" s="20"/>
      <c r="J44" s="20"/>
      <c r="L44" s="20"/>
      <c r="M44" s="20"/>
      <c r="N44" s="20"/>
      <c r="O44" s="20"/>
      <c r="P44" s="20"/>
      <c r="Q44" s="20"/>
    </row>
    <row r="45" spans="1:20" x14ac:dyDescent="0.75">
      <c r="A45" s="21"/>
      <c r="B45" s="28"/>
      <c r="D45" s="20"/>
      <c r="E45" s="20"/>
      <c r="F45" s="20"/>
      <c r="G45" s="20"/>
      <c r="H45" s="20"/>
      <c r="I45" s="20"/>
      <c r="J45" s="20"/>
      <c r="L45" s="20"/>
      <c r="M45" s="20"/>
      <c r="N45" s="20"/>
      <c r="O45" s="20"/>
      <c r="P45" s="20"/>
      <c r="Q45" s="20"/>
    </row>
    <row r="46" spans="1:20" x14ac:dyDescent="0.75">
      <c r="A46" s="21"/>
      <c r="B46" s="28"/>
      <c r="D46" s="20"/>
      <c r="E46" s="20"/>
      <c r="F46" s="20"/>
      <c r="G46" s="20"/>
      <c r="H46" s="20"/>
      <c r="I46" s="20"/>
      <c r="J46" s="20"/>
      <c r="L46" s="20"/>
      <c r="M46" s="20"/>
      <c r="N46" s="20"/>
      <c r="O46" s="20"/>
      <c r="P46" s="20"/>
      <c r="Q46" s="20"/>
    </row>
    <row r="47" spans="1:20" x14ac:dyDescent="0.75">
      <c r="A47" s="21"/>
      <c r="B47" s="28"/>
      <c r="D47" s="20"/>
      <c r="E47" s="20"/>
      <c r="F47" s="20"/>
      <c r="G47" s="20"/>
      <c r="H47" s="20"/>
      <c r="I47" s="20"/>
      <c r="J47" s="20"/>
      <c r="L47" s="20"/>
      <c r="M47" s="20"/>
      <c r="N47" s="20"/>
      <c r="O47" s="20"/>
      <c r="P47" s="20"/>
      <c r="Q47" s="20"/>
    </row>
    <row r="48" spans="1:20" x14ac:dyDescent="0.75">
      <c r="A48" s="21"/>
      <c r="B48" s="28"/>
      <c r="D48" s="20"/>
      <c r="E48" s="20"/>
      <c r="F48" s="20"/>
      <c r="G48" s="20"/>
      <c r="H48" s="20"/>
      <c r="I48" s="20"/>
      <c r="J48" s="20"/>
      <c r="L48" s="20"/>
      <c r="M48" s="20"/>
      <c r="N48" s="20"/>
      <c r="O48" s="20"/>
      <c r="P48" s="20"/>
      <c r="Q48" s="20"/>
    </row>
    <row r="49" spans="1:17" x14ac:dyDescent="0.75">
      <c r="A49" s="21"/>
      <c r="B49" s="28"/>
      <c r="D49" s="20"/>
      <c r="E49" s="20"/>
      <c r="F49" s="20"/>
      <c r="G49" s="20"/>
      <c r="H49" s="20"/>
      <c r="I49" s="20"/>
      <c r="J49" s="20"/>
      <c r="L49" s="20"/>
      <c r="M49" s="20"/>
      <c r="N49" s="20"/>
      <c r="O49" s="20"/>
      <c r="P49" s="20"/>
      <c r="Q49" s="20"/>
    </row>
    <row r="50" spans="1:17" x14ac:dyDescent="0.75">
      <c r="A50" s="21"/>
      <c r="B50" s="28"/>
      <c r="D50" s="20"/>
      <c r="E50" s="20"/>
      <c r="F50" s="20"/>
      <c r="G50" s="20"/>
      <c r="H50" s="20"/>
      <c r="I50" s="20"/>
      <c r="J50" s="20"/>
      <c r="L50" s="20"/>
      <c r="M50" s="20"/>
      <c r="N50" s="20"/>
      <c r="O50" s="20"/>
      <c r="P50" s="20"/>
      <c r="Q50" s="20"/>
    </row>
    <row r="51" spans="1:17" x14ac:dyDescent="0.75">
      <c r="A51" s="21"/>
      <c r="B51" s="28"/>
      <c r="D51" s="20"/>
      <c r="E51" s="20"/>
      <c r="F51" s="20"/>
      <c r="G51" s="20"/>
      <c r="H51" s="20"/>
      <c r="I51" s="20"/>
      <c r="J51" s="20"/>
      <c r="L51" s="20"/>
      <c r="M51" s="20"/>
      <c r="N51" s="20"/>
      <c r="O51" s="20"/>
      <c r="P51" s="20"/>
      <c r="Q51" s="20"/>
    </row>
    <row r="52" spans="1:17" x14ac:dyDescent="0.75">
      <c r="A52" s="21"/>
      <c r="B52" s="28"/>
      <c r="D52" s="20"/>
      <c r="E52" s="20"/>
      <c r="F52" s="20"/>
      <c r="G52" s="20"/>
      <c r="H52" s="20"/>
      <c r="I52" s="20"/>
      <c r="J52" s="20"/>
      <c r="L52" s="20"/>
      <c r="M52" s="20"/>
      <c r="N52" s="20"/>
      <c r="O52" s="20"/>
      <c r="P52" s="20"/>
      <c r="Q52" s="20"/>
    </row>
    <row r="53" spans="1:17" x14ac:dyDescent="0.75">
      <c r="A53" s="21"/>
      <c r="B53" s="28"/>
      <c r="D53" s="20"/>
      <c r="E53" s="20"/>
      <c r="F53" s="20"/>
      <c r="G53" s="20"/>
      <c r="H53" s="20"/>
      <c r="I53" s="20"/>
      <c r="J53" s="20"/>
      <c r="L53" s="20"/>
      <c r="M53" s="20"/>
      <c r="N53" s="20"/>
      <c r="O53" s="20"/>
      <c r="P53" s="20"/>
      <c r="Q53" s="20"/>
    </row>
    <row r="54" spans="1:17" x14ac:dyDescent="0.75">
      <c r="A54" s="21"/>
      <c r="B54" s="28"/>
      <c r="D54" s="20"/>
      <c r="E54" s="20"/>
      <c r="F54" s="20"/>
      <c r="G54" s="20"/>
      <c r="H54" s="20"/>
      <c r="I54" s="20"/>
      <c r="J54" s="20"/>
      <c r="L54" s="20"/>
      <c r="M54" s="20"/>
      <c r="N54" s="20"/>
      <c r="O54" s="20"/>
      <c r="P54" s="20"/>
      <c r="Q54" s="20"/>
    </row>
    <row r="55" spans="1:17" x14ac:dyDescent="0.75">
      <c r="A55" s="21"/>
      <c r="B55" s="28"/>
      <c r="D55" s="20"/>
      <c r="E55" s="20"/>
      <c r="F55" s="20"/>
      <c r="G55" s="20"/>
      <c r="H55" s="20"/>
      <c r="I55" s="20"/>
      <c r="J55" s="20"/>
      <c r="L55" s="20"/>
      <c r="M55" s="20"/>
      <c r="N55" s="20"/>
      <c r="O55" s="20"/>
      <c r="P55" s="20"/>
      <c r="Q55" s="20"/>
    </row>
    <row r="56" spans="1:17" x14ac:dyDescent="0.75">
      <c r="A56" s="21"/>
      <c r="B56" s="28"/>
      <c r="D56" s="20"/>
      <c r="E56" s="20"/>
      <c r="F56" s="20"/>
      <c r="G56" s="20"/>
      <c r="H56" s="20"/>
      <c r="I56" s="20"/>
      <c r="J56" s="20"/>
      <c r="L56" s="20"/>
      <c r="M56" s="20"/>
      <c r="N56" s="20"/>
      <c r="O56" s="20"/>
      <c r="P56" s="20"/>
      <c r="Q56" s="20"/>
    </row>
    <row r="57" spans="1:17" x14ac:dyDescent="0.75">
      <c r="A57" s="21"/>
      <c r="B57" s="28"/>
      <c r="D57" s="20"/>
      <c r="E57" s="20"/>
      <c r="F57" s="20"/>
      <c r="G57" s="20"/>
      <c r="H57" s="20"/>
      <c r="I57" s="20"/>
      <c r="J57" s="20"/>
      <c r="L57" s="20"/>
      <c r="M57" s="20"/>
      <c r="N57" s="20"/>
      <c r="O57" s="20"/>
      <c r="P57" s="20"/>
      <c r="Q57" s="20"/>
    </row>
    <row r="58" spans="1:17" x14ac:dyDescent="0.75">
      <c r="A58" s="21"/>
      <c r="B58" s="28"/>
      <c r="D58" s="20"/>
      <c r="E58" s="20"/>
      <c r="F58" s="20"/>
      <c r="G58" s="20"/>
      <c r="H58" s="20"/>
      <c r="I58" s="20"/>
      <c r="J58" s="20"/>
      <c r="L58" s="20"/>
      <c r="M58" s="20"/>
      <c r="N58" s="20"/>
      <c r="O58" s="20"/>
      <c r="P58" s="20"/>
      <c r="Q58" s="20"/>
    </row>
    <row r="59" spans="1:17" x14ac:dyDescent="0.75">
      <c r="A59" s="21"/>
      <c r="B59" s="28"/>
      <c r="D59" s="20"/>
      <c r="E59" s="20"/>
      <c r="F59" s="20"/>
      <c r="G59" s="20"/>
      <c r="H59" s="20"/>
      <c r="I59" s="20"/>
      <c r="J59" s="20"/>
      <c r="L59" s="20"/>
      <c r="M59" s="20"/>
      <c r="N59" s="20"/>
      <c r="O59" s="20"/>
      <c r="P59" s="20"/>
      <c r="Q59" s="20"/>
    </row>
    <row r="60" spans="1:17" x14ac:dyDescent="0.75">
      <c r="A60" s="21"/>
      <c r="B60" s="28"/>
      <c r="D60" s="20"/>
      <c r="E60" s="20"/>
      <c r="F60" s="20"/>
      <c r="G60" s="20"/>
      <c r="H60" s="20"/>
      <c r="I60" s="20"/>
      <c r="J60" s="20"/>
      <c r="L60" s="20"/>
      <c r="M60" s="20"/>
      <c r="N60" s="20"/>
      <c r="O60" s="20"/>
      <c r="P60" s="20"/>
      <c r="Q60" s="20"/>
    </row>
    <row r="61" spans="1:17" x14ac:dyDescent="0.75">
      <c r="A61" s="21"/>
      <c r="B61" s="28"/>
      <c r="D61" s="20"/>
      <c r="E61" s="20"/>
      <c r="F61" s="20"/>
      <c r="G61" s="20"/>
      <c r="H61" s="20"/>
      <c r="I61" s="20"/>
      <c r="J61" s="20"/>
      <c r="L61" s="20"/>
      <c r="M61" s="20"/>
      <c r="N61" s="20"/>
      <c r="O61" s="20"/>
      <c r="P61" s="20"/>
      <c r="Q61" s="20"/>
    </row>
    <row r="62" spans="1:17" x14ac:dyDescent="0.75">
      <c r="A62" s="21"/>
      <c r="B62" s="28"/>
      <c r="D62" s="20"/>
      <c r="E62" s="20"/>
      <c r="F62" s="20"/>
      <c r="G62" s="20"/>
      <c r="H62" s="20"/>
      <c r="I62" s="20"/>
      <c r="J62" s="20"/>
      <c r="L62" s="20"/>
      <c r="M62" s="20"/>
      <c r="N62" s="20"/>
      <c r="O62" s="20"/>
      <c r="P62" s="20"/>
      <c r="Q62" s="20"/>
    </row>
    <row r="63" spans="1:17" x14ac:dyDescent="0.75">
      <c r="A63" s="21"/>
      <c r="B63" s="28"/>
      <c r="D63" s="20"/>
      <c r="E63" s="20"/>
      <c r="F63" s="20"/>
      <c r="G63" s="20"/>
      <c r="H63" s="20"/>
      <c r="I63" s="20"/>
      <c r="J63" s="20"/>
      <c r="L63" s="20"/>
      <c r="M63" s="20"/>
      <c r="N63" s="20"/>
      <c r="O63" s="20"/>
      <c r="P63" s="20"/>
      <c r="Q63" s="20"/>
    </row>
    <row r="64" spans="1:17" x14ac:dyDescent="0.75">
      <c r="A64" s="21"/>
      <c r="B64" s="28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x14ac:dyDescent="0.75">
      <c r="A65" s="21"/>
      <c r="B65" s="28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x14ac:dyDescent="0.75">
      <c r="A66" s="21"/>
      <c r="B66" s="28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x14ac:dyDescent="0.75">
      <c r="A67" s="21"/>
      <c r="B67" s="28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x14ac:dyDescent="0.75">
      <c r="A68" s="21"/>
      <c r="B68" s="28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x14ac:dyDescent="0.75">
      <c r="A69" s="2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x14ac:dyDescent="0.75">
      <c r="A70" s="2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x14ac:dyDescent="0.75">
      <c r="A71" s="2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x14ac:dyDescent="0.75">
      <c r="A72" s="2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x14ac:dyDescent="0.75">
      <c r="A73" s="2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x14ac:dyDescent="0.75">
      <c r="A74" s="2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x14ac:dyDescent="0.75">
      <c r="A75" s="2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x14ac:dyDescent="0.75">
      <c r="A76" s="2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x14ac:dyDescent="0.75">
      <c r="A77" s="2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x14ac:dyDescent="0.75">
      <c r="A78" s="2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x14ac:dyDescent="0.75">
      <c r="A79" s="2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x14ac:dyDescent="0.75">
      <c r="A80" s="21"/>
      <c r="B80" s="20"/>
      <c r="C80" s="12"/>
      <c r="I80" s="20"/>
      <c r="J80" s="20"/>
      <c r="K80" s="12"/>
    </row>
    <row r="81" spans="1:11" x14ac:dyDescent="0.75">
      <c r="A81" s="21"/>
      <c r="B81" s="20"/>
      <c r="C81" s="12"/>
      <c r="I81" s="20"/>
      <c r="J81" s="20"/>
      <c r="K81" s="12"/>
    </row>
    <row r="82" spans="1:11" x14ac:dyDescent="0.75">
      <c r="A82" s="21"/>
      <c r="B82" s="20"/>
      <c r="C82" s="12"/>
      <c r="I82" s="20"/>
      <c r="J82" s="20"/>
      <c r="K82" s="12"/>
    </row>
    <row r="83" spans="1:11" x14ac:dyDescent="0.75">
      <c r="A83" s="21"/>
      <c r="C83" s="20"/>
      <c r="J83" s="20"/>
      <c r="K83" s="20"/>
    </row>
    <row r="84" spans="1:11" x14ac:dyDescent="0.75">
      <c r="A84" s="21"/>
      <c r="C84" s="20"/>
      <c r="J84" s="20"/>
      <c r="K84" s="20"/>
    </row>
    <row r="85" spans="1:11" x14ac:dyDescent="0.75">
      <c r="A85" s="21"/>
      <c r="C85" s="20"/>
      <c r="J85" s="20"/>
      <c r="K85" s="20"/>
    </row>
    <row r="86" spans="1:11" x14ac:dyDescent="0.75">
      <c r="A86" s="21"/>
      <c r="C86" s="20"/>
      <c r="J86" s="20"/>
      <c r="K86" s="20"/>
    </row>
    <row r="87" spans="1:11" x14ac:dyDescent="0.75">
      <c r="A87" s="21"/>
      <c r="C87" s="20"/>
      <c r="J87" s="20"/>
      <c r="K87" s="20"/>
    </row>
    <row r="88" spans="1:11" x14ac:dyDescent="0.75">
      <c r="A88" s="21"/>
      <c r="C88" s="20"/>
      <c r="J88" s="20"/>
      <c r="K88" s="20"/>
    </row>
    <row r="89" spans="1:11" x14ac:dyDescent="0.75">
      <c r="A89" s="21"/>
      <c r="C89" s="20"/>
      <c r="J89" s="20"/>
      <c r="K89" s="20"/>
    </row>
    <row r="90" spans="1:11" x14ac:dyDescent="0.75">
      <c r="A90" s="21"/>
      <c r="C90" s="20"/>
      <c r="J90" s="20"/>
      <c r="K90" s="20"/>
    </row>
    <row r="91" spans="1:11" x14ac:dyDescent="0.75">
      <c r="A91" s="21"/>
      <c r="C91" s="20"/>
      <c r="J91" s="20"/>
      <c r="K91" s="20"/>
    </row>
    <row r="92" spans="1:11" x14ac:dyDescent="0.75">
      <c r="A92" s="21"/>
      <c r="C92" s="20"/>
      <c r="J92" s="20"/>
      <c r="K92" s="20"/>
    </row>
    <row r="93" spans="1:11" x14ac:dyDescent="0.75">
      <c r="A93" s="21"/>
      <c r="C93" s="20"/>
      <c r="J93" s="20"/>
      <c r="K93" s="20"/>
    </row>
    <row r="94" spans="1:11" x14ac:dyDescent="0.75">
      <c r="A94" s="21"/>
      <c r="C94" s="20"/>
      <c r="J94" s="20"/>
      <c r="K94" s="20"/>
    </row>
    <row r="95" spans="1:11" x14ac:dyDescent="0.75">
      <c r="C95" s="12"/>
      <c r="J95" s="20"/>
      <c r="K95" s="20"/>
    </row>
    <row r="96" spans="1:11" x14ac:dyDescent="0.75">
      <c r="C96" s="12"/>
      <c r="J96" s="20"/>
      <c r="K96" s="20"/>
    </row>
    <row r="97" spans="2:20" x14ac:dyDescent="0.75">
      <c r="C97" s="12"/>
      <c r="J97" s="20"/>
      <c r="K97" s="20"/>
    </row>
    <row r="98" spans="2:20" x14ac:dyDescent="0.75">
      <c r="C98" s="12"/>
      <c r="J98" s="20"/>
      <c r="K98" s="20"/>
    </row>
    <row r="99" spans="2:20" x14ac:dyDescent="0.75">
      <c r="C99" s="12"/>
      <c r="J99" s="20"/>
      <c r="K99" s="20"/>
    </row>
    <row r="100" spans="2:20" x14ac:dyDescent="0.75">
      <c r="C100" s="12"/>
      <c r="J100" s="20"/>
      <c r="K100" s="20"/>
    </row>
    <row r="101" spans="2:20" x14ac:dyDescent="0.75">
      <c r="B101" s="22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1"/>
    </row>
    <row r="102" spans="2:20" x14ac:dyDescent="0.75">
      <c r="B102" s="22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1"/>
    </row>
    <row r="103" spans="2:20" x14ac:dyDescent="0.75">
      <c r="B103" s="22"/>
      <c r="C103" s="20"/>
      <c r="D103" s="20"/>
      <c r="E103" s="20"/>
      <c r="F103" s="20"/>
      <c r="G103" s="20"/>
      <c r="H103" s="20"/>
      <c r="I103" s="20"/>
      <c r="J103" s="20"/>
      <c r="L103" s="20"/>
      <c r="M103" s="20"/>
      <c r="N103" s="20"/>
      <c r="O103" s="20"/>
      <c r="P103" s="20"/>
      <c r="Q103" s="20"/>
      <c r="R103" s="20"/>
      <c r="S103" s="20"/>
      <c r="T103" s="21"/>
    </row>
    <row r="104" spans="2:20" x14ac:dyDescent="0.75">
      <c r="B104" s="22"/>
      <c r="C104" s="20"/>
      <c r="D104" s="20"/>
      <c r="E104" s="20"/>
      <c r="F104" s="20"/>
      <c r="G104" s="20"/>
      <c r="H104" s="20"/>
      <c r="I104" s="20"/>
      <c r="J104" s="20"/>
      <c r="L104" s="20"/>
      <c r="M104" s="20"/>
      <c r="N104" s="20"/>
      <c r="O104" s="20"/>
      <c r="P104" s="20"/>
      <c r="Q104" s="20"/>
      <c r="R104" s="20"/>
      <c r="S104" s="20"/>
      <c r="T104" s="21"/>
    </row>
    <row r="105" spans="2:20" x14ac:dyDescent="0.75">
      <c r="B105" s="22"/>
      <c r="C105" s="20"/>
      <c r="D105" s="20"/>
      <c r="E105" s="20"/>
      <c r="F105" s="20"/>
      <c r="G105" s="20"/>
      <c r="H105" s="20"/>
      <c r="I105" s="20"/>
      <c r="J105" s="20"/>
      <c r="L105" s="20"/>
      <c r="M105" s="20"/>
      <c r="N105" s="20"/>
      <c r="O105" s="20"/>
      <c r="P105" s="20"/>
      <c r="Q105" s="20"/>
      <c r="R105" s="20"/>
      <c r="S105" s="20"/>
      <c r="T105" s="21"/>
    </row>
    <row r="106" spans="2:20" x14ac:dyDescent="0.75">
      <c r="B106" s="22"/>
      <c r="C106" s="20"/>
      <c r="D106" s="20"/>
      <c r="E106" s="20"/>
      <c r="F106" s="20"/>
      <c r="G106" s="20"/>
      <c r="H106" s="20"/>
      <c r="I106" s="20"/>
      <c r="J106" s="20"/>
      <c r="L106" s="20"/>
      <c r="M106" s="20"/>
      <c r="N106" s="20"/>
      <c r="O106" s="20"/>
      <c r="P106" s="20"/>
      <c r="Q106" s="20"/>
      <c r="R106" s="20"/>
      <c r="S106" s="20"/>
      <c r="T106" s="21"/>
    </row>
    <row r="107" spans="2:20" x14ac:dyDescent="0.75">
      <c r="B107" s="22"/>
      <c r="C107" s="20"/>
      <c r="D107" s="20"/>
      <c r="E107" s="20"/>
      <c r="F107" s="20"/>
      <c r="G107" s="20"/>
      <c r="H107" s="20"/>
      <c r="I107" s="20"/>
      <c r="J107" s="20"/>
      <c r="L107" s="20"/>
      <c r="M107" s="20"/>
      <c r="N107" s="20"/>
      <c r="O107" s="20"/>
      <c r="P107" s="20"/>
      <c r="Q107" s="20"/>
      <c r="R107" s="20"/>
      <c r="S107" s="20"/>
      <c r="T107" s="21"/>
    </row>
    <row r="108" spans="2:20" x14ac:dyDescent="0.75">
      <c r="B108" s="22"/>
      <c r="C108" s="20"/>
      <c r="D108" s="20"/>
      <c r="E108" s="20"/>
      <c r="F108" s="20"/>
      <c r="G108" s="20"/>
      <c r="H108" s="20"/>
      <c r="I108" s="20"/>
      <c r="J108" s="20"/>
      <c r="L108" s="20"/>
      <c r="M108" s="20"/>
      <c r="N108" s="20"/>
      <c r="O108" s="20"/>
      <c r="P108" s="20"/>
      <c r="Q108" s="20"/>
      <c r="R108" s="20"/>
      <c r="S108" s="20"/>
      <c r="T108" s="21"/>
    </row>
    <row r="109" spans="2:20" x14ac:dyDescent="0.75">
      <c r="B109" s="22"/>
      <c r="C109" s="20"/>
      <c r="D109" s="20"/>
      <c r="E109" s="20"/>
      <c r="F109" s="20"/>
      <c r="G109" s="20"/>
      <c r="H109" s="20"/>
      <c r="I109" s="20"/>
      <c r="J109" s="20"/>
      <c r="L109" s="20"/>
      <c r="M109" s="20"/>
      <c r="N109" s="20"/>
      <c r="O109" s="20"/>
      <c r="P109" s="20"/>
      <c r="Q109" s="20"/>
      <c r="R109" s="20"/>
      <c r="S109" s="20"/>
      <c r="T109" s="21"/>
    </row>
    <row r="110" spans="2:20" x14ac:dyDescent="0.75">
      <c r="B110" s="22"/>
      <c r="C110" s="20"/>
      <c r="D110" s="20"/>
      <c r="E110" s="20"/>
      <c r="F110" s="20"/>
      <c r="G110" s="20"/>
      <c r="H110" s="20"/>
      <c r="I110" s="20"/>
      <c r="J110" s="20"/>
      <c r="L110" s="20"/>
      <c r="M110" s="20"/>
      <c r="N110" s="20"/>
      <c r="O110" s="20"/>
      <c r="P110" s="20"/>
      <c r="Q110" s="20"/>
      <c r="R110" s="20"/>
      <c r="S110" s="20"/>
      <c r="T110" s="21"/>
    </row>
    <row r="111" spans="2:20" x14ac:dyDescent="0.75">
      <c r="B111" s="22"/>
      <c r="C111" s="20"/>
      <c r="D111" s="20"/>
      <c r="E111" s="20"/>
      <c r="F111" s="20"/>
      <c r="G111" s="20"/>
      <c r="H111" s="20"/>
      <c r="I111" s="20"/>
      <c r="J111" s="20"/>
      <c r="L111" s="20"/>
      <c r="M111" s="20"/>
      <c r="N111" s="20"/>
      <c r="O111" s="20"/>
      <c r="P111" s="20"/>
      <c r="Q111" s="20"/>
      <c r="R111" s="20"/>
      <c r="S111" s="20"/>
      <c r="T111" s="21"/>
    </row>
    <row r="112" spans="2:20" x14ac:dyDescent="0.75">
      <c r="B112" s="22"/>
      <c r="C112" s="20"/>
      <c r="D112" s="20"/>
      <c r="E112" s="20"/>
      <c r="F112" s="20"/>
      <c r="G112" s="20"/>
      <c r="H112" s="20"/>
      <c r="I112" s="20"/>
      <c r="J112" s="20"/>
      <c r="L112" s="20"/>
      <c r="M112" s="20"/>
      <c r="N112" s="20"/>
      <c r="O112" s="20"/>
      <c r="P112" s="20"/>
      <c r="Q112" s="20"/>
      <c r="R112" s="20"/>
      <c r="S112" s="20"/>
      <c r="T112" s="21"/>
    </row>
    <row r="113" spans="2:20" x14ac:dyDescent="0.75">
      <c r="B113" s="22"/>
      <c r="C113" s="20"/>
      <c r="D113" s="20"/>
      <c r="E113" s="20"/>
      <c r="F113" s="20"/>
      <c r="G113" s="20"/>
      <c r="H113" s="20"/>
      <c r="I113" s="20"/>
      <c r="J113" s="20"/>
      <c r="L113" s="20"/>
      <c r="M113" s="20"/>
      <c r="N113" s="20"/>
      <c r="O113" s="20"/>
      <c r="P113" s="20"/>
      <c r="Q113" s="20"/>
      <c r="R113" s="20"/>
      <c r="S113" s="20"/>
      <c r="T113" s="21"/>
    </row>
    <row r="114" spans="2:20" x14ac:dyDescent="0.75">
      <c r="B114" s="22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1"/>
    </row>
    <row r="115" spans="2:20" x14ac:dyDescent="0.75">
      <c r="B115" s="22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1"/>
    </row>
    <row r="116" spans="2:20" x14ac:dyDescent="0.75">
      <c r="B116" s="22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1"/>
    </row>
    <row r="117" spans="2:20" x14ac:dyDescent="0.75">
      <c r="B117" s="22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1"/>
    </row>
    <row r="118" spans="2:20" x14ac:dyDescent="0.75">
      <c r="B118" s="22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1"/>
    </row>
    <row r="119" spans="2:20" x14ac:dyDescent="0.75">
      <c r="B119" s="2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1"/>
    </row>
    <row r="120" spans="2:20" x14ac:dyDescent="0.75">
      <c r="B120" s="22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1"/>
    </row>
    <row r="121" spans="2:20" x14ac:dyDescent="0.75">
      <c r="B121" s="22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1"/>
    </row>
    <row r="122" spans="2:20" x14ac:dyDescent="0.75">
      <c r="B122" s="22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1"/>
    </row>
    <row r="123" spans="2:20" x14ac:dyDescent="0.75">
      <c r="B123" s="22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1"/>
    </row>
    <row r="124" spans="2:20" x14ac:dyDescent="0.75">
      <c r="B124" s="22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1"/>
    </row>
    <row r="125" spans="2:20" x14ac:dyDescent="0.75">
      <c r="B125" s="22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1"/>
    </row>
    <row r="126" spans="2:20" x14ac:dyDescent="0.75">
      <c r="B126" s="22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1"/>
    </row>
    <row r="127" spans="2:20" x14ac:dyDescent="0.75">
      <c r="B127" s="2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1"/>
    </row>
    <row r="128" spans="2:20" x14ac:dyDescent="0.75">
      <c r="B128" s="22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1"/>
    </row>
    <row r="129" spans="2:20" x14ac:dyDescent="0.75">
      <c r="B129" s="2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1"/>
    </row>
    <row r="130" spans="2:20" x14ac:dyDescent="0.75">
      <c r="B130" s="22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1"/>
    </row>
    <row r="131" spans="2:20" x14ac:dyDescent="0.75">
      <c r="B131" s="22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1"/>
    </row>
    <row r="132" spans="2:20" x14ac:dyDescent="0.75">
      <c r="B132" s="22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1"/>
    </row>
    <row r="133" spans="2:20" x14ac:dyDescent="0.75">
      <c r="B133" s="22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1"/>
    </row>
    <row r="134" spans="2:20" x14ac:dyDescent="0.75">
      <c r="B134" s="22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1"/>
    </row>
    <row r="135" spans="2:20" x14ac:dyDescent="0.75">
      <c r="B135" s="22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1"/>
    </row>
    <row r="136" spans="2:20" x14ac:dyDescent="0.75">
      <c r="B136" s="2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1"/>
    </row>
    <row r="137" spans="2:20" x14ac:dyDescent="0.75">
      <c r="B137" s="2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1"/>
    </row>
    <row r="138" spans="2:20" x14ac:dyDescent="0.75">
      <c r="B138" s="22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1"/>
    </row>
    <row r="139" spans="2:20" x14ac:dyDescent="0.75">
      <c r="B139" s="22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1"/>
    </row>
    <row r="140" spans="2:20" x14ac:dyDescent="0.75">
      <c r="B140" s="22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1"/>
    </row>
    <row r="141" spans="2:20" x14ac:dyDescent="0.75">
      <c r="B141" s="22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1"/>
    </row>
    <row r="142" spans="2:20" x14ac:dyDescent="0.75">
      <c r="B142" s="22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1"/>
    </row>
    <row r="143" spans="2:20" x14ac:dyDescent="0.75">
      <c r="B143" s="2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1"/>
    </row>
    <row r="144" spans="2:20" x14ac:dyDescent="0.75">
      <c r="B144" s="2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1"/>
    </row>
    <row r="145" spans="2:20" x14ac:dyDescent="0.75">
      <c r="B145" s="22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1"/>
    </row>
    <row r="146" spans="2:20" x14ac:dyDescent="0.75">
      <c r="B146" s="22"/>
      <c r="D146" s="20"/>
      <c r="E146" s="20"/>
      <c r="F146" s="20"/>
      <c r="G146" s="20"/>
      <c r="H146" s="20"/>
      <c r="I146" s="20"/>
      <c r="J146" s="20"/>
      <c r="L146" s="20"/>
      <c r="M146" s="20"/>
      <c r="N146" s="20"/>
      <c r="O146" s="20"/>
      <c r="P146" s="20"/>
      <c r="Q146" s="20"/>
      <c r="R146" s="20"/>
      <c r="S146" s="20"/>
      <c r="T146" s="21"/>
    </row>
    <row r="147" spans="2:20" x14ac:dyDescent="0.75">
      <c r="B147" s="22"/>
      <c r="D147" s="20"/>
      <c r="E147" s="20"/>
      <c r="F147" s="20"/>
      <c r="G147" s="20"/>
      <c r="H147" s="20"/>
      <c r="I147" s="20"/>
      <c r="J147" s="20"/>
      <c r="L147" s="20"/>
      <c r="M147" s="20"/>
      <c r="N147" s="20"/>
      <c r="O147" s="20"/>
      <c r="P147" s="20"/>
      <c r="Q147" s="20"/>
      <c r="R147" s="20"/>
      <c r="S147" s="20"/>
      <c r="T147" s="21"/>
    </row>
    <row r="148" spans="2:20" x14ac:dyDescent="0.75">
      <c r="B148" s="22"/>
      <c r="D148" s="20"/>
      <c r="E148" s="20"/>
      <c r="F148" s="20"/>
      <c r="G148" s="20"/>
      <c r="H148" s="20"/>
      <c r="I148" s="20"/>
      <c r="J148" s="20"/>
      <c r="L148" s="20"/>
      <c r="M148" s="20"/>
      <c r="N148" s="20"/>
      <c r="O148" s="20"/>
      <c r="P148" s="20"/>
      <c r="Q148" s="20"/>
      <c r="R148" s="20"/>
      <c r="S148" s="20"/>
      <c r="T148" s="21"/>
    </row>
    <row r="149" spans="2:20" x14ac:dyDescent="0.75">
      <c r="B149" s="22"/>
      <c r="D149" s="20"/>
      <c r="E149" s="20"/>
      <c r="F149" s="20"/>
      <c r="G149" s="20"/>
      <c r="H149" s="20"/>
      <c r="I149" s="20"/>
      <c r="J149" s="20"/>
      <c r="L149" s="20"/>
      <c r="M149" s="20"/>
      <c r="N149" s="20"/>
      <c r="O149" s="20"/>
      <c r="P149" s="20"/>
      <c r="Q149" s="20"/>
      <c r="R149" s="20"/>
      <c r="S149" s="20"/>
      <c r="T149" s="21"/>
    </row>
    <row r="150" spans="2:20" x14ac:dyDescent="0.75">
      <c r="B150" s="22"/>
      <c r="D150" s="20"/>
      <c r="E150" s="20"/>
      <c r="F150" s="20"/>
      <c r="G150" s="20"/>
      <c r="H150" s="20"/>
      <c r="I150" s="20"/>
      <c r="J150" s="20"/>
      <c r="L150" s="20"/>
      <c r="M150" s="20"/>
      <c r="N150" s="20"/>
      <c r="O150" s="20"/>
      <c r="P150" s="20"/>
      <c r="Q150" s="20"/>
      <c r="R150" s="20"/>
      <c r="S150" s="20"/>
      <c r="T150" s="21"/>
    </row>
    <row r="151" spans="2:20" x14ac:dyDescent="0.75">
      <c r="B151" s="22"/>
      <c r="D151" s="20"/>
      <c r="E151" s="20"/>
      <c r="F151" s="20"/>
      <c r="G151" s="20"/>
      <c r="H151" s="20"/>
      <c r="I151" s="20"/>
      <c r="J151" s="20"/>
      <c r="L151" s="20"/>
      <c r="M151" s="20"/>
      <c r="N151" s="20"/>
      <c r="O151" s="20"/>
      <c r="P151" s="20"/>
      <c r="Q151" s="20"/>
      <c r="R151" s="20"/>
      <c r="S151" s="20"/>
      <c r="T151" s="21"/>
    </row>
    <row r="152" spans="2:20" x14ac:dyDescent="0.75">
      <c r="B152" s="22"/>
      <c r="D152" s="20"/>
      <c r="E152" s="20"/>
      <c r="F152" s="20"/>
      <c r="G152" s="20"/>
      <c r="H152" s="20"/>
      <c r="I152" s="20"/>
      <c r="J152" s="20"/>
      <c r="L152" s="20"/>
      <c r="M152" s="20"/>
      <c r="N152" s="20"/>
      <c r="O152" s="20"/>
      <c r="P152" s="20"/>
      <c r="Q152" s="20"/>
      <c r="R152" s="20"/>
      <c r="S152" s="20"/>
      <c r="T152" s="21"/>
    </row>
    <row r="153" spans="2:20" x14ac:dyDescent="0.75">
      <c r="B153" s="22"/>
      <c r="D153" s="20"/>
      <c r="E153" s="20"/>
      <c r="F153" s="20"/>
      <c r="G153" s="20"/>
      <c r="H153" s="20"/>
      <c r="I153" s="20"/>
      <c r="J153" s="20"/>
      <c r="L153" s="20"/>
      <c r="M153" s="20"/>
      <c r="N153" s="20"/>
      <c r="O153" s="20"/>
      <c r="P153" s="20"/>
      <c r="Q153" s="20"/>
      <c r="R153" s="20"/>
      <c r="S153" s="20"/>
      <c r="T153" s="21"/>
    </row>
    <row r="154" spans="2:20" x14ac:dyDescent="0.75">
      <c r="B154" s="22"/>
      <c r="D154" s="20"/>
      <c r="E154" s="20"/>
      <c r="F154" s="20"/>
      <c r="G154" s="20"/>
      <c r="H154" s="20"/>
      <c r="I154" s="20"/>
      <c r="J154" s="20"/>
      <c r="L154" s="20"/>
      <c r="M154" s="20"/>
      <c r="N154" s="20"/>
      <c r="O154" s="20"/>
      <c r="P154" s="20"/>
      <c r="Q154" s="20"/>
      <c r="R154" s="20"/>
      <c r="S154" s="20"/>
      <c r="T154" s="21"/>
    </row>
    <row r="155" spans="2:20" x14ac:dyDescent="0.75">
      <c r="B155" s="22"/>
      <c r="D155" s="20"/>
      <c r="E155" s="20"/>
      <c r="F155" s="20"/>
      <c r="G155" s="20"/>
      <c r="H155" s="20"/>
      <c r="I155" s="20"/>
      <c r="J155" s="20"/>
      <c r="L155" s="20"/>
      <c r="M155" s="20"/>
      <c r="N155" s="20"/>
      <c r="O155" s="20"/>
      <c r="P155" s="20"/>
      <c r="Q155" s="20"/>
      <c r="R155" s="20"/>
      <c r="S155" s="20"/>
      <c r="T155" s="21"/>
    </row>
    <row r="156" spans="2:20" x14ac:dyDescent="0.75">
      <c r="B156" s="22"/>
      <c r="D156" s="20"/>
      <c r="E156" s="20"/>
      <c r="F156" s="20"/>
      <c r="G156" s="20"/>
      <c r="H156" s="20"/>
      <c r="I156" s="20"/>
      <c r="J156" s="20"/>
      <c r="L156" s="20"/>
      <c r="M156" s="20"/>
      <c r="N156" s="20"/>
      <c r="O156" s="20"/>
      <c r="P156" s="20"/>
      <c r="Q156" s="20"/>
      <c r="R156" s="20"/>
      <c r="S156" s="20"/>
      <c r="T156" s="21"/>
    </row>
    <row r="157" spans="2:20" x14ac:dyDescent="0.75">
      <c r="B157" s="22"/>
      <c r="D157" s="20"/>
      <c r="E157" s="20"/>
      <c r="F157" s="20"/>
      <c r="G157" s="20"/>
      <c r="H157" s="20"/>
      <c r="I157" s="20"/>
      <c r="J157" s="20"/>
      <c r="L157" s="20"/>
      <c r="M157" s="20"/>
      <c r="N157" s="20"/>
      <c r="O157" s="20"/>
      <c r="P157" s="20"/>
      <c r="Q157" s="20"/>
      <c r="R157" s="20"/>
      <c r="S157" s="20"/>
      <c r="T157" s="21"/>
    </row>
    <row r="158" spans="2:20" x14ac:dyDescent="0.75">
      <c r="B158" s="22"/>
      <c r="D158" s="20"/>
      <c r="E158" s="20"/>
      <c r="F158" s="20"/>
      <c r="G158" s="20"/>
      <c r="H158" s="20"/>
      <c r="I158" s="20"/>
      <c r="J158" s="20"/>
      <c r="L158" s="20"/>
      <c r="M158" s="20"/>
      <c r="N158" s="20"/>
      <c r="O158" s="20"/>
      <c r="P158" s="20"/>
      <c r="Q158" s="20"/>
      <c r="R158" s="20"/>
      <c r="S158" s="20"/>
      <c r="T158" s="21"/>
    </row>
    <row r="159" spans="2:20" x14ac:dyDescent="0.75">
      <c r="B159" s="22"/>
      <c r="D159" s="20"/>
      <c r="E159" s="20"/>
      <c r="F159" s="20"/>
      <c r="G159" s="20"/>
      <c r="H159" s="20"/>
      <c r="I159" s="20"/>
      <c r="J159" s="20"/>
      <c r="L159" s="20"/>
      <c r="M159" s="20"/>
      <c r="N159" s="20"/>
      <c r="O159" s="20"/>
      <c r="P159" s="20"/>
      <c r="Q159" s="20"/>
      <c r="R159" s="20"/>
      <c r="S159" s="20"/>
      <c r="T159" s="21"/>
    </row>
    <row r="160" spans="2:20" x14ac:dyDescent="0.75">
      <c r="B160" s="22"/>
      <c r="D160" s="20"/>
      <c r="E160" s="20"/>
      <c r="F160" s="20"/>
      <c r="G160" s="20"/>
      <c r="H160" s="20"/>
      <c r="I160" s="20"/>
      <c r="J160" s="20"/>
      <c r="L160" s="20"/>
      <c r="M160" s="20"/>
      <c r="N160" s="20"/>
      <c r="O160" s="20"/>
      <c r="P160" s="20"/>
      <c r="Q160" s="20"/>
      <c r="R160" s="20"/>
      <c r="S160" s="20"/>
      <c r="T160" s="21"/>
    </row>
    <row r="161" spans="2:20" x14ac:dyDescent="0.75">
      <c r="B161" s="22"/>
      <c r="D161" s="20"/>
      <c r="E161" s="20"/>
      <c r="F161" s="20"/>
      <c r="G161" s="20"/>
      <c r="H161" s="20"/>
      <c r="I161" s="20"/>
      <c r="J161" s="20"/>
      <c r="L161" s="20"/>
      <c r="M161" s="20"/>
      <c r="N161" s="20"/>
      <c r="O161" s="20"/>
      <c r="P161" s="20"/>
      <c r="Q161" s="20"/>
      <c r="R161" s="20"/>
      <c r="S161" s="20"/>
      <c r="T161" s="21"/>
    </row>
    <row r="162" spans="2:20" x14ac:dyDescent="0.75">
      <c r="B162" s="22"/>
      <c r="D162" s="20"/>
      <c r="E162" s="20"/>
      <c r="F162" s="20"/>
      <c r="G162" s="20"/>
      <c r="H162" s="20"/>
      <c r="I162" s="20"/>
      <c r="J162" s="20"/>
      <c r="L162" s="20"/>
      <c r="M162" s="20"/>
      <c r="N162" s="20"/>
      <c r="O162" s="20"/>
      <c r="P162" s="20"/>
      <c r="Q162" s="20"/>
      <c r="R162" s="20"/>
      <c r="S162" s="20"/>
      <c r="T162" s="21"/>
    </row>
    <row r="163" spans="2:20" x14ac:dyDescent="0.75">
      <c r="B163" s="22"/>
      <c r="D163" s="20"/>
      <c r="E163" s="20"/>
      <c r="F163" s="20"/>
      <c r="G163" s="20"/>
      <c r="H163" s="20"/>
      <c r="I163" s="20"/>
      <c r="J163" s="20"/>
      <c r="L163" s="20"/>
      <c r="M163" s="20"/>
      <c r="N163" s="20"/>
      <c r="O163" s="20"/>
      <c r="P163" s="20"/>
      <c r="Q163" s="20"/>
      <c r="R163" s="20"/>
      <c r="S163" s="20"/>
      <c r="T163" s="21"/>
    </row>
    <row r="164" spans="2:20" x14ac:dyDescent="0.75">
      <c r="B164" s="22"/>
      <c r="D164" s="20"/>
      <c r="E164" s="20"/>
      <c r="F164" s="20"/>
      <c r="G164" s="20"/>
      <c r="H164" s="20"/>
      <c r="I164" s="20"/>
      <c r="J164" s="20"/>
      <c r="L164" s="20"/>
      <c r="M164" s="20"/>
      <c r="N164" s="20"/>
      <c r="O164" s="20"/>
      <c r="P164" s="20"/>
      <c r="Q164" s="20"/>
      <c r="R164" s="20"/>
      <c r="S164" s="20"/>
      <c r="T164" s="21"/>
    </row>
    <row r="165" spans="2:20" x14ac:dyDescent="0.75">
      <c r="B165" s="22"/>
      <c r="D165" s="20"/>
      <c r="E165" s="20"/>
      <c r="F165" s="20"/>
      <c r="G165" s="20"/>
      <c r="H165" s="20"/>
      <c r="I165" s="20"/>
      <c r="J165" s="20"/>
      <c r="L165" s="20"/>
      <c r="M165" s="20"/>
      <c r="N165" s="20"/>
      <c r="O165" s="20"/>
      <c r="P165" s="20"/>
      <c r="Q165" s="20"/>
      <c r="R165" s="20"/>
      <c r="S165" s="20"/>
      <c r="T165" s="21"/>
    </row>
    <row r="166" spans="2:20" x14ac:dyDescent="0.75">
      <c r="B166" s="22"/>
      <c r="D166" s="20"/>
      <c r="E166" s="20"/>
      <c r="F166" s="20"/>
      <c r="G166" s="20"/>
      <c r="H166" s="20"/>
      <c r="I166" s="20"/>
      <c r="J166" s="20"/>
      <c r="L166" s="20"/>
      <c r="M166" s="20"/>
      <c r="N166" s="20"/>
      <c r="O166" s="20"/>
      <c r="P166" s="20"/>
      <c r="Q166" s="20"/>
      <c r="R166" s="20"/>
      <c r="S166" s="20"/>
      <c r="T166" s="21"/>
    </row>
    <row r="167" spans="2:20" x14ac:dyDescent="0.75">
      <c r="B167" s="22"/>
      <c r="D167" s="20"/>
      <c r="E167" s="20"/>
      <c r="F167" s="20"/>
      <c r="G167" s="20"/>
      <c r="H167" s="20"/>
      <c r="I167" s="20"/>
      <c r="J167" s="20"/>
      <c r="L167" s="20"/>
      <c r="M167" s="20"/>
      <c r="N167" s="20"/>
      <c r="O167" s="20"/>
      <c r="P167" s="20"/>
      <c r="Q167" s="20"/>
      <c r="R167" s="20"/>
      <c r="S167" s="20"/>
      <c r="T167" s="21"/>
    </row>
    <row r="168" spans="2:20" x14ac:dyDescent="0.75">
      <c r="B168" s="22"/>
      <c r="D168" s="20"/>
      <c r="E168" s="20"/>
      <c r="F168" s="20"/>
      <c r="G168" s="20"/>
      <c r="H168" s="20"/>
      <c r="I168" s="20"/>
      <c r="J168" s="20"/>
      <c r="L168" s="20"/>
      <c r="M168" s="20"/>
      <c r="N168" s="20"/>
      <c r="O168" s="20"/>
      <c r="P168" s="20"/>
      <c r="Q168" s="20"/>
      <c r="R168" s="20"/>
      <c r="S168" s="20"/>
      <c r="T168" s="21"/>
    </row>
    <row r="169" spans="2:20" x14ac:dyDescent="0.75">
      <c r="B169" s="22"/>
      <c r="D169" s="20"/>
      <c r="E169" s="20"/>
      <c r="F169" s="20"/>
      <c r="G169" s="20"/>
      <c r="H169" s="20"/>
      <c r="I169" s="20"/>
      <c r="J169" s="20"/>
      <c r="L169" s="20"/>
      <c r="M169" s="20"/>
      <c r="N169" s="20"/>
      <c r="O169" s="20"/>
      <c r="P169" s="20"/>
      <c r="Q169" s="20"/>
      <c r="R169" s="20"/>
      <c r="S169" s="20"/>
      <c r="T169" s="21"/>
    </row>
    <row r="170" spans="2:20" x14ac:dyDescent="0.75">
      <c r="B170" s="22"/>
      <c r="D170" s="20"/>
      <c r="E170" s="20"/>
      <c r="F170" s="20"/>
      <c r="G170" s="20"/>
      <c r="H170" s="20"/>
      <c r="I170" s="20"/>
      <c r="J170" s="20"/>
      <c r="L170" s="20"/>
      <c r="M170" s="20"/>
      <c r="N170" s="20"/>
      <c r="O170" s="20"/>
      <c r="P170" s="20"/>
      <c r="Q170" s="20"/>
      <c r="R170" s="20"/>
      <c r="S170" s="20"/>
      <c r="T170" s="21"/>
    </row>
    <row r="171" spans="2:20" x14ac:dyDescent="0.75">
      <c r="B171" s="22"/>
      <c r="D171" s="20"/>
      <c r="E171" s="20"/>
      <c r="F171" s="20"/>
      <c r="G171" s="20"/>
      <c r="H171" s="20"/>
      <c r="I171" s="20"/>
      <c r="J171" s="20"/>
      <c r="L171" s="20"/>
      <c r="M171" s="20"/>
      <c r="N171" s="20"/>
      <c r="O171" s="20"/>
      <c r="P171" s="20"/>
      <c r="Q171" s="20"/>
      <c r="R171" s="20"/>
      <c r="S171" s="20"/>
      <c r="T171" s="21"/>
    </row>
    <row r="172" spans="2:20" x14ac:dyDescent="0.75">
      <c r="B172" s="22"/>
      <c r="D172" s="20"/>
      <c r="E172" s="20"/>
      <c r="F172" s="20"/>
      <c r="G172" s="20"/>
      <c r="H172" s="20"/>
      <c r="I172" s="20"/>
      <c r="J172" s="20"/>
      <c r="L172" s="20"/>
      <c r="M172" s="20"/>
      <c r="N172" s="20"/>
      <c r="O172" s="20"/>
      <c r="P172" s="20"/>
      <c r="Q172" s="20"/>
      <c r="R172" s="20"/>
      <c r="S172" s="20"/>
      <c r="T172" s="21"/>
    </row>
    <row r="173" spans="2:20" x14ac:dyDescent="0.75">
      <c r="B173" s="22"/>
      <c r="D173" s="20"/>
      <c r="E173" s="20"/>
      <c r="F173" s="20"/>
      <c r="G173" s="20"/>
      <c r="H173" s="20"/>
      <c r="I173" s="20"/>
      <c r="J173" s="20"/>
      <c r="L173" s="20"/>
      <c r="M173" s="20"/>
      <c r="N173" s="20"/>
      <c r="O173" s="20"/>
      <c r="P173" s="20"/>
      <c r="Q173" s="20"/>
      <c r="R173" s="20"/>
      <c r="S173" s="20"/>
      <c r="T173" s="21"/>
    </row>
    <row r="174" spans="2:20" x14ac:dyDescent="0.75">
      <c r="B174" s="22"/>
      <c r="D174" s="20"/>
      <c r="E174" s="20"/>
      <c r="F174" s="20"/>
      <c r="G174" s="20"/>
      <c r="H174" s="20"/>
      <c r="I174" s="20"/>
      <c r="J174" s="20"/>
      <c r="L174" s="20"/>
      <c r="M174" s="20"/>
      <c r="N174" s="20"/>
      <c r="O174" s="20"/>
      <c r="P174" s="20"/>
      <c r="Q174" s="20"/>
      <c r="R174" s="20"/>
      <c r="S174" s="20"/>
      <c r="T174" s="21"/>
    </row>
    <row r="175" spans="2:20" x14ac:dyDescent="0.75">
      <c r="B175" s="22"/>
      <c r="D175" s="20"/>
      <c r="E175" s="20"/>
      <c r="F175" s="20"/>
      <c r="G175" s="20"/>
      <c r="H175" s="20"/>
      <c r="I175" s="20"/>
      <c r="J175" s="20"/>
      <c r="L175" s="20"/>
      <c r="M175" s="20"/>
      <c r="N175" s="20"/>
      <c r="O175" s="20"/>
      <c r="P175" s="20"/>
      <c r="Q175" s="20"/>
      <c r="R175" s="20"/>
      <c r="S175" s="20"/>
      <c r="T175" s="21"/>
    </row>
    <row r="176" spans="2:20" x14ac:dyDescent="0.75">
      <c r="B176" s="22"/>
      <c r="D176" s="20"/>
      <c r="E176" s="20"/>
      <c r="F176" s="20"/>
      <c r="G176" s="20"/>
      <c r="H176" s="20"/>
      <c r="I176" s="20"/>
      <c r="J176" s="20"/>
      <c r="L176" s="20"/>
      <c r="M176" s="20"/>
      <c r="N176" s="20"/>
      <c r="O176" s="20"/>
      <c r="P176" s="20"/>
      <c r="Q176" s="20"/>
      <c r="R176" s="20"/>
      <c r="S176" s="20"/>
      <c r="T176" s="21"/>
    </row>
    <row r="177" spans="2:20" x14ac:dyDescent="0.75">
      <c r="B177" s="22"/>
      <c r="D177" s="20"/>
      <c r="E177" s="20"/>
      <c r="F177" s="20"/>
      <c r="G177" s="20"/>
      <c r="H177" s="20"/>
      <c r="I177" s="20"/>
      <c r="J177" s="20"/>
      <c r="L177" s="20"/>
      <c r="M177" s="20"/>
      <c r="N177" s="20"/>
      <c r="O177" s="20"/>
      <c r="P177" s="20"/>
      <c r="Q177" s="20"/>
      <c r="R177" s="20"/>
      <c r="S177" s="20"/>
      <c r="T177" s="21"/>
    </row>
    <row r="178" spans="2:20" x14ac:dyDescent="0.75">
      <c r="B178" s="22"/>
      <c r="D178" s="20"/>
      <c r="E178" s="20"/>
      <c r="F178" s="20"/>
      <c r="G178" s="20"/>
      <c r="H178" s="20"/>
      <c r="I178" s="20"/>
      <c r="J178" s="20"/>
      <c r="L178" s="20"/>
      <c r="M178" s="20"/>
      <c r="N178" s="20"/>
      <c r="O178" s="20"/>
      <c r="P178" s="20"/>
      <c r="Q178" s="20"/>
      <c r="R178" s="20"/>
      <c r="S178" s="20"/>
      <c r="T178" s="21"/>
    </row>
    <row r="179" spans="2:20" x14ac:dyDescent="0.75">
      <c r="B179" s="22"/>
      <c r="D179" s="20"/>
      <c r="E179" s="20"/>
      <c r="F179" s="20"/>
      <c r="G179" s="20"/>
      <c r="H179" s="20"/>
      <c r="I179" s="20"/>
      <c r="J179" s="20"/>
      <c r="L179" s="20"/>
      <c r="M179" s="20"/>
      <c r="N179" s="20"/>
      <c r="O179" s="20"/>
      <c r="P179" s="20"/>
      <c r="Q179" s="20"/>
      <c r="R179" s="20"/>
      <c r="S179" s="20"/>
      <c r="T179" s="21"/>
    </row>
    <row r="180" spans="2:20" x14ac:dyDescent="0.75">
      <c r="B180" s="22"/>
      <c r="D180" s="20"/>
      <c r="E180" s="20"/>
      <c r="F180" s="20"/>
      <c r="G180" s="20"/>
      <c r="H180" s="20"/>
      <c r="I180" s="20"/>
      <c r="J180" s="20"/>
      <c r="L180" s="20"/>
      <c r="M180" s="20"/>
      <c r="N180" s="20"/>
      <c r="O180" s="20"/>
      <c r="P180" s="20"/>
      <c r="Q180" s="20"/>
      <c r="R180" s="20"/>
      <c r="S180" s="20"/>
      <c r="T180" s="21"/>
    </row>
    <row r="181" spans="2:20" x14ac:dyDescent="0.75">
      <c r="B181" s="22"/>
      <c r="D181" s="20"/>
      <c r="E181" s="20"/>
      <c r="F181" s="20"/>
      <c r="G181" s="20"/>
      <c r="H181" s="20"/>
      <c r="I181" s="20"/>
      <c r="J181" s="20"/>
      <c r="L181" s="20"/>
      <c r="M181" s="20"/>
      <c r="N181" s="20"/>
      <c r="O181" s="20"/>
      <c r="P181" s="20"/>
      <c r="Q181" s="20"/>
      <c r="R181" s="20"/>
      <c r="S181" s="20"/>
      <c r="T181" s="21"/>
    </row>
    <row r="182" spans="2:20" x14ac:dyDescent="0.75">
      <c r="B182" s="22"/>
      <c r="D182" s="20"/>
      <c r="E182" s="20"/>
      <c r="F182" s="20"/>
      <c r="G182" s="20"/>
      <c r="H182" s="20"/>
      <c r="I182" s="20"/>
      <c r="J182" s="20"/>
      <c r="L182" s="20"/>
      <c r="M182" s="20"/>
      <c r="N182" s="20"/>
      <c r="O182" s="20"/>
      <c r="P182" s="20"/>
      <c r="Q182" s="20"/>
      <c r="R182" s="20"/>
      <c r="S182" s="20"/>
      <c r="T182" s="21"/>
    </row>
    <row r="183" spans="2:20" x14ac:dyDescent="0.75">
      <c r="B183" s="22"/>
      <c r="D183" s="20"/>
      <c r="E183" s="20"/>
      <c r="F183" s="20"/>
      <c r="G183" s="20"/>
      <c r="H183" s="20"/>
      <c r="I183" s="20"/>
      <c r="J183" s="20"/>
      <c r="L183" s="20"/>
      <c r="M183" s="20"/>
      <c r="N183" s="20"/>
      <c r="O183" s="20"/>
      <c r="P183" s="20"/>
      <c r="Q183" s="20"/>
      <c r="R183" s="20"/>
      <c r="S183" s="20"/>
      <c r="T183" s="21"/>
    </row>
    <row r="184" spans="2:20" x14ac:dyDescent="0.75">
      <c r="B184" s="22"/>
      <c r="D184" s="20"/>
      <c r="E184" s="20"/>
      <c r="F184" s="20"/>
      <c r="G184" s="20"/>
      <c r="H184" s="20"/>
      <c r="I184" s="20"/>
      <c r="J184" s="20"/>
      <c r="L184" s="20"/>
      <c r="M184" s="20"/>
      <c r="N184" s="20"/>
      <c r="O184" s="20"/>
      <c r="P184" s="20"/>
      <c r="Q184" s="20"/>
      <c r="R184" s="20"/>
      <c r="S184" s="20"/>
      <c r="T184" s="21"/>
    </row>
    <row r="185" spans="2:20" x14ac:dyDescent="0.75">
      <c r="B185" s="22"/>
      <c r="D185" s="20"/>
      <c r="E185" s="20"/>
      <c r="F185" s="20"/>
      <c r="G185" s="20"/>
      <c r="H185" s="20"/>
      <c r="I185" s="20"/>
      <c r="J185" s="20"/>
      <c r="L185" s="20"/>
      <c r="M185" s="20"/>
      <c r="N185" s="20"/>
      <c r="O185" s="20"/>
      <c r="P185" s="20"/>
      <c r="Q185" s="20"/>
      <c r="R185" s="20"/>
      <c r="S185" s="20"/>
      <c r="T185" s="21"/>
    </row>
    <row r="186" spans="2:20" x14ac:dyDescent="0.75">
      <c r="B186" s="22"/>
      <c r="D186" s="20"/>
      <c r="E186" s="20"/>
      <c r="F186" s="20"/>
      <c r="G186" s="20"/>
      <c r="H186" s="20"/>
      <c r="I186" s="20"/>
      <c r="J186" s="20"/>
      <c r="L186" s="20"/>
      <c r="M186" s="20"/>
      <c r="N186" s="20"/>
      <c r="O186" s="20"/>
      <c r="P186" s="20"/>
      <c r="Q186" s="20"/>
      <c r="R186" s="20"/>
      <c r="S186" s="20"/>
      <c r="T186" s="21"/>
    </row>
    <row r="187" spans="2:20" x14ac:dyDescent="0.75">
      <c r="B187" s="22"/>
      <c r="D187" s="20"/>
      <c r="E187" s="20"/>
      <c r="F187" s="20"/>
      <c r="G187" s="20"/>
      <c r="H187" s="20"/>
      <c r="I187" s="20"/>
      <c r="J187" s="20"/>
      <c r="L187" s="20"/>
      <c r="M187" s="20"/>
      <c r="N187" s="20"/>
      <c r="O187" s="20"/>
      <c r="P187" s="20"/>
      <c r="Q187" s="20"/>
      <c r="R187" s="20"/>
      <c r="S187" s="20"/>
      <c r="T187" s="21"/>
    </row>
    <row r="188" spans="2:20" x14ac:dyDescent="0.75">
      <c r="B188" s="22"/>
      <c r="D188" s="20"/>
      <c r="E188" s="20"/>
      <c r="F188" s="20"/>
      <c r="G188" s="20"/>
      <c r="H188" s="20"/>
      <c r="I188" s="20"/>
      <c r="J188" s="20"/>
      <c r="L188" s="20"/>
      <c r="M188" s="20"/>
      <c r="N188" s="20"/>
      <c r="O188" s="20"/>
      <c r="P188" s="20"/>
      <c r="Q188" s="20"/>
      <c r="R188" s="20"/>
      <c r="S188" s="20"/>
      <c r="T188" s="21"/>
    </row>
    <row r="189" spans="2:20" x14ac:dyDescent="0.75">
      <c r="B189" s="22"/>
      <c r="D189" s="20"/>
      <c r="E189" s="20"/>
      <c r="F189" s="20"/>
      <c r="G189" s="20"/>
      <c r="H189" s="20"/>
      <c r="I189" s="20"/>
      <c r="J189" s="20"/>
      <c r="L189" s="20"/>
      <c r="M189" s="20"/>
      <c r="N189" s="20"/>
      <c r="O189" s="20"/>
      <c r="P189" s="20"/>
      <c r="Q189" s="20"/>
      <c r="R189" s="20"/>
      <c r="S189" s="20"/>
      <c r="T189" s="21"/>
    </row>
    <row r="190" spans="2:20" x14ac:dyDescent="0.75">
      <c r="B190" s="22"/>
      <c r="D190" s="20"/>
      <c r="E190" s="20"/>
      <c r="F190" s="20"/>
      <c r="G190" s="20"/>
      <c r="H190" s="20"/>
      <c r="I190" s="20"/>
      <c r="J190" s="20"/>
      <c r="L190" s="20"/>
      <c r="M190" s="20"/>
      <c r="N190" s="20"/>
      <c r="O190" s="20"/>
      <c r="P190" s="20"/>
      <c r="Q190" s="20"/>
      <c r="R190" s="20"/>
      <c r="S190" s="20"/>
      <c r="T190" s="21"/>
    </row>
    <row r="191" spans="2:20" x14ac:dyDescent="0.75">
      <c r="B191" s="22"/>
      <c r="D191" s="20"/>
      <c r="E191" s="20"/>
      <c r="F191" s="20"/>
      <c r="G191" s="20"/>
      <c r="H191" s="20"/>
      <c r="I191" s="20"/>
      <c r="J191" s="20"/>
      <c r="L191" s="20"/>
      <c r="M191" s="20"/>
      <c r="N191" s="20"/>
      <c r="O191" s="20"/>
      <c r="P191" s="20"/>
      <c r="Q191" s="20"/>
      <c r="R191" s="20"/>
      <c r="S191" s="20"/>
      <c r="T191" s="21"/>
    </row>
    <row r="192" spans="2:20" x14ac:dyDescent="0.75">
      <c r="B192" s="22"/>
      <c r="D192" s="20"/>
      <c r="E192" s="20"/>
      <c r="F192" s="20"/>
      <c r="G192" s="20"/>
      <c r="H192" s="20"/>
      <c r="I192" s="20"/>
      <c r="J192" s="20"/>
      <c r="L192" s="20"/>
      <c r="M192" s="20"/>
      <c r="N192" s="20"/>
      <c r="O192" s="20"/>
      <c r="P192" s="20"/>
      <c r="Q192" s="20"/>
      <c r="R192" s="20"/>
      <c r="S192" s="20"/>
      <c r="T192" s="21"/>
    </row>
    <row r="193" spans="2:20" x14ac:dyDescent="0.75">
      <c r="B193" s="22"/>
      <c r="D193" s="20"/>
      <c r="E193" s="20"/>
      <c r="F193" s="20"/>
      <c r="G193" s="20"/>
      <c r="H193" s="20"/>
      <c r="I193" s="20"/>
      <c r="J193" s="20"/>
      <c r="L193" s="20"/>
      <c r="M193" s="20"/>
      <c r="N193" s="20"/>
      <c r="O193" s="20"/>
      <c r="P193" s="20"/>
      <c r="Q193" s="20"/>
      <c r="R193" s="20"/>
      <c r="S193" s="20"/>
      <c r="T193" s="21"/>
    </row>
    <row r="194" spans="2:20" x14ac:dyDescent="0.75">
      <c r="B194" s="22"/>
      <c r="D194" s="20"/>
      <c r="E194" s="20"/>
      <c r="F194" s="20"/>
      <c r="G194" s="20"/>
      <c r="H194" s="20"/>
      <c r="I194" s="20"/>
      <c r="J194" s="20"/>
      <c r="L194" s="20"/>
      <c r="M194" s="20"/>
      <c r="N194" s="20"/>
      <c r="O194" s="20"/>
      <c r="P194" s="20"/>
      <c r="Q194" s="20"/>
      <c r="R194" s="20"/>
      <c r="S194" s="20"/>
      <c r="T194" s="21"/>
    </row>
    <row r="195" spans="2:20" x14ac:dyDescent="0.75">
      <c r="B195" s="22"/>
      <c r="D195" s="20"/>
      <c r="E195" s="20"/>
      <c r="F195" s="20"/>
      <c r="G195" s="20"/>
      <c r="H195" s="20"/>
      <c r="I195" s="20"/>
      <c r="J195" s="20"/>
      <c r="L195" s="20"/>
      <c r="M195" s="20"/>
      <c r="N195" s="20"/>
      <c r="O195" s="20"/>
      <c r="P195" s="20"/>
      <c r="Q195" s="20"/>
      <c r="R195" s="20"/>
      <c r="S195" s="20"/>
      <c r="T195" s="21"/>
    </row>
    <row r="196" spans="2:20" x14ac:dyDescent="0.75">
      <c r="B196" s="22"/>
      <c r="D196" s="20"/>
      <c r="E196" s="20"/>
      <c r="F196" s="20"/>
      <c r="G196" s="20"/>
      <c r="H196" s="20"/>
      <c r="I196" s="20"/>
      <c r="J196" s="20"/>
      <c r="L196" s="20"/>
      <c r="M196" s="20"/>
      <c r="N196" s="20"/>
      <c r="O196" s="20"/>
      <c r="P196" s="20"/>
      <c r="Q196" s="20"/>
      <c r="R196" s="20"/>
      <c r="S196" s="20"/>
      <c r="T196" s="21"/>
    </row>
    <row r="197" spans="2:20" x14ac:dyDescent="0.75">
      <c r="B197" s="22"/>
      <c r="D197" s="20"/>
      <c r="E197" s="20"/>
      <c r="F197" s="20"/>
      <c r="G197" s="20"/>
      <c r="H197" s="20"/>
      <c r="I197" s="20"/>
      <c r="J197" s="20"/>
      <c r="L197" s="20"/>
      <c r="M197" s="20"/>
      <c r="N197" s="20"/>
      <c r="O197" s="20"/>
      <c r="P197" s="20"/>
      <c r="Q197" s="20"/>
      <c r="R197" s="20"/>
      <c r="S197" s="20"/>
      <c r="T197" s="21"/>
    </row>
    <row r="198" spans="2:20" x14ac:dyDescent="0.75">
      <c r="B198" s="22"/>
      <c r="D198" s="20"/>
      <c r="E198" s="20"/>
      <c r="F198" s="20"/>
      <c r="G198" s="20"/>
      <c r="H198" s="20"/>
      <c r="I198" s="20"/>
      <c r="J198" s="20"/>
      <c r="L198" s="20"/>
      <c r="M198" s="20"/>
      <c r="N198" s="20"/>
      <c r="O198" s="20"/>
      <c r="P198" s="20"/>
      <c r="Q198" s="20"/>
      <c r="R198" s="20"/>
      <c r="S198" s="20"/>
      <c r="T198" s="21"/>
    </row>
    <row r="199" spans="2:20" x14ac:dyDescent="0.75">
      <c r="B199" s="22"/>
      <c r="D199" s="20"/>
      <c r="E199" s="20"/>
      <c r="F199" s="20"/>
      <c r="G199" s="20"/>
      <c r="H199" s="20"/>
      <c r="I199" s="20"/>
      <c r="J199" s="20"/>
      <c r="L199" s="20"/>
      <c r="M199" s="20"/>
      <c r="N199" s="20"/>
      <c r="O199" s="20"/>
      <c r="P199" s="20"/>
      <c r="Q199" s="20"/>
      <c r="R199" s="20"/>
      <c r="S199" s="20"/>
      <c r="T199" s="21"/>
    </row>
    <row r="200" spans="2:20" x14ac:dyDescent="0.75">
      <c r="B200" s="22"/>
      <c r="D200" s="20"/>
      <c r="E200" s="20"/>
      <c r="F200" s="20"/>
      <c r="G200" s="20"/>
      <c r="H200" s="20"/>
      <c r="I200" s="20"/>
      <c r="J200" s="20"/>
      <c r="L200" s="20"/>
      <c r="M200" s="20"/>
      <c r="N200" s="20"/>
      <c r="O200" s="20"/>
      <c r="P200" s="20"/>
      <c r="Q200" s="20"/>
      <c r="R200" s="20"/>
      <c r="S200" s="20"/>
      <c r="T200" s="21"/>
    </row>
    <row r="201" spans="2:20" x14ac:dyDescent="0.75">
      <c r="B201" s="22"/>
      <c r="D201" s="20"/>
      <c r="E201" s="20"/>
      <c r="F201" s="20"/>
      <c r="G201" s="20"/>
      <c r="H201" s="20"/>
      <c r="I201" s="20"/>
      <c r="J201" s="20"/>
      <c r="L201" s="20"/>
      <c r="M201" s="20"/>
      <c r="N201" s="20"/>
      <c r="O201" s="20"/>
      <c r="P201" s="20"/>
      <c r="Q201" s="20"/>
      <c r="R201" s="20"/>
      <c r="S201" s="20"/>
      <c r="T201" s="21"/>
    </row>
    <row r="202" spans="2:20" x14ac:dyDescent="0.75">
      <c r="B202" s="22"/>
      <c r="D202" s="20"/>
      <c r="E202" s="20"/>
      <c r="F202" s="20"/>
      <c r="G202" s="20"/>
      <c r="H202" s="20"/>
      <c r="I202" s="20"/>
      <c r="J202" s="20"/>
      <c r="L202" s="20"/>
      <c r="M202" s="20"/>
      <c r="N202" s="20"/>
      <c r="O202" s="20"/>
      <c r="P202" s="20"/>
      <c r="Q202" s="20"/>
      <c r="R202" s="20"/>
      <c r="S202" s="20"/>
      <c r="T202" s="21"/>
    </row>
    <row r="203" spans="2:20" x14ac:dyDescent="0.75">
      <c r="B203" s="22"/>
      <c r="D203" s="20"/>
      <c r="E203" s="20"/>
      <c r="F203" s="20"/>
      <c r="G203" s="20"/>
      <c r="H203" s="20"/>
      <c r="I203" s="20"/>
      <c r="J203" s="20"/>
      <c r="L203" s="20"/>
      <c r="M203" s="20"/>
      <c r="N203" s="20"/>
      <c r="O203" s="20"/>
      <c r="P203" s="20"/>
      <c r="Q203" s="20"/>
      <c r="R203" s="20"/>
      <c r="S203" s="20"/>
      <c r="T203" s="21"/>
    </row>
    <row r="204" spans="2:20" x14ac:dyDescent="0.75">
      <c r="B204" s="22"/>
      <c r="D204" s="20"/>
      <c r="E204" s="20"/>
      <c r="F204" s="20"/>
      <c r="G204" s="20"/>
      <c r="H204" s="20"/>
      <c r="I204" s="20"/>
      <c r="J204" s="20"/>
      <c r="L204" s="20"/>
      <c r="M204" s="20"/>
      <c r="N204" s="20"/>
      <c r="O204" s="20"/>
      <c r="P204" s="20"/>
      <c r="Q204" s="20"/>
      <c r="R204" s="20"/>
      <c r="S204" s="20"/>
      <c r="T204" s="21"/>
    </row>
    <row r="205" spans="2:20" x14ac:dyDescent="0.75">
      <c r="B205" s="22"/>
      <c r="D205" s="20"/>
      <c r="E205" s="20"/>
      <c r="F205" s="20"/>
      <c r="G205" s="20"/>
      <c r="H205" s="20"/>
      <c r="I205" s="20"/>
      <c r="J205" s="20"/>
      <c r="L205" s="20"/>
      <c r="M205" s="20"/>
      <c r="N205" s="20"/>
      <c r="O205" s="20"/>
      <c r="P205" s="20"/>
      <c r="Q205" s="20"/>
      <c r="R205" s="20"/>
      <c r="S205" s="20"/>
      <c r="T205" s="21"/>
    </row>
    <row r="206" spans="2:20" x14ac:dyDescent="0.75">
      <c r="B206" s="22"/>
      <c r="D206" s="20"/>
      <c r="E206" s="20"/>
      <c r="F206" s="20"/>
      <c r="G206" s="20"/>
      <c r="H206" s="20"/>
      <c r="I206" s="20"/>
      <c r="J206" s="20"/>
      <c r="L206" s="20"/>
      <c r="M206" s="20"/>
      <c r="N206" s="20"/>
      <c r="O206" s="20"/>
      <c r="P206" s="20"/>
      <c r="Q206" s="20"/>
      <c r="R206" s="20"/>
      <c r="S206" s="20"/>
      <c r="T206" s="21"/>
    </row>
    <row r="207" spans="2:20" x14ac:dyDescent="0.75">
      <c r="B207" s="22"/>
      <c r="D207" s="20"/>
      <c r="E207" s="20"/>
      <c r="F207" s="20"/>
      <c r="G207" s="20"/>
      <c r="H207" s="20"/>
      <c r="I207" s="20"/>
      <c r="J207" s="20"/>
      <c r="L207" s="20"/>
      <c r="M207" s="20"/>
      <c r="N207" s="20"/>
      <c r="O207" s="20"/>
      <c r="P207" s="20"/>
      <c r="Q207" s="20"/>
      <c r="R207" s="20"/>
      <c r="S207" s="20"/>
      <c r="T207" s="21"/>
    </row>
    <row r="208" spans="2:20" x14ac:dyDescent="0.75">
      <c r="B208" s="22"/>
      <c r="D208" s="20"/>
      <c r="E208" s="20"/>
      <c r="F208" s="20"/>
      <c r="G208" s="20"/>
      <c r="H208" s="20"/>
      <c r="I208" s="20"/>
      <c r="J208" s="20"/>
      <c r="L208" s="20"/>
      <c r="M208" s="20"/>
      <c r="N208" s="20"/>
      <c r="O208" s="20"/>
      <c r="P208" s="20"/>
      <c r="Q208" s="20"/>
      <c r="R208" s="20"/>
      <c r="S208" s="20"/>
      <c r="T208" s="21"/>
    </row>
    <row r="209" spans="2:20" x14ac:dyDescent="0.75">
      <c r="B209" s="22"/>
      <c r="D209" s="20"/>
      <c r="E209" s="20"/>
      <c r="F209" s="20"/>
      <c r="G209" s="20"/>
      <c r="H209" s="20"/>
      <c r="I209" s="20"/>
      <c r="J209" s="20"/>
      <c r="L209" s="20"/>
      <c r="M209" s="20"/>
      <c r="N209" s="20"/>
      <c r="O209" s="20"/>
      <c r="P209" s="20"/>
      <c r="Q209" s="20"/>
      <c r="R209" s="20"/>
      <c r="S209" s="20"/>
      <c r="T209" s="21"/>
    </row>
    <row r="210" spans="2:20" x14ac:dyDescent="0.75">
      <c r="B210" s="22"/>
      <c r="D210" s="20"/>
      <c r="E210" s="20"/>
      <c r="F210" s="20"/>
      <c r="G210" s="20"/>
      <c r="H210" s="20"/>
      <c r="I210" s="20"/>
      <c r="J210" s="20"/>
      <c r="L210" s="20"/>
      <c r="M210" s="20"/>
      <c r="N210" s="20"/>
      <c r="O210" s="20"/>
      <c r="P210" s="20"/>
      <c r="Q210" s="20"/>
      <c r="R210" s="20"/>
      <c r="S210" s="20"/>
      <c r="T210" s="21"/>
    </row>
    <row r="211" spans="2:20" x14ac:dyDescent="0.75">
      <c r="B211" s="22"/>
      <c r="D211" s="20"/>
      <c r="E211" s="20"/>
      <c r="F211" s="20"/>
      <c r="G211" s="20"/>
      <c r="H211" s="20"/>
      <c r="I211" s="20"/>
      <c r="J211" s="20"/>
      <c r="L211" s="20"/>
      <c r="M211" s="20"/>
      <c r="N211" s="20"/>
      <c r="O211" s="20"/>
      <c r="P211" s="20"/>
      <c r="Q211" s="20"/>
      <c r="R211" s="20"/>
      <c r="S211" s="20"/>
      <c r="T211" s="21"/>
    </row>
    <row r="212" spans="2:20" x14ac:dyDescent="0.75">
      <c r="B212" s="22"/>
      <c r="D212" s="20"/>
      <c r="E212" s="20"/>
      <c r="F212" s="20"/>
      <c r="G212" s="20"/>
      <c r="H212" s="20"/>
      <c r="I212" s="20"/>
      <c r="J212" s="20"/>
      <c r="L212" s="20"/>
      <c r="M212" s="20"/>
      <c r="N212" s="20"/>
      <c r="O212" s="20"/>
      <c r="P212" s="20"/>
      <c r="Q212" s="20"/>
      <c r="R212" s="20"/>
      <c r="S212" s="20"/>
      <c r="T212" s="21"/>
    </row>
    <row r="213" spans="2:20" x14ac:dyDescent="0.75">
      <c r="B213" s="22"/>
      <c r="D213" s="20"/>
      <c r="E213" s="20"/>
      <c r="F213" s="20"/>
      <c r="G213" s="20"/>
      <c r="H213" s="20"/>
      <c r="I213" s="20"/>
      <c r="J213" s="20"/>
      <c r="L213" s="20"/>
      <c r="M213" s="20"/>
      <c r="N213" s="20"/>
      <c r="O213" s="20"/>
      <c r="P213" s="20"/>
      <c r="Q213" s="20"/>
      <c r="R213" s="20"/>
      <c r="S213" s="20"/>
      <c r="T213" s="21"/>
    </row>
    <row r="214" spans="2:20" x14ac:dyDescent="0.75">
      <c r="B214" s="22"/>
      <c r="D214" s="20"/>
      <c r="E214" s="20"/>
      <c r="F214" s="20"/>
      <c r="G214" s="20"/>
      <c r="H214" s="20"/>
      <c r="I214" s="20"/>
      <c r="J214" s="20"/>
      <c r="L214" s="20"/>
      <c r="M214" s="20"/>
      <c r="N214" s="20"/>
      <c r="O214" s="20"/>
      <c r="P214" s="20"/>
      <c r="Q214" s="20"/>
      <c r="R214" s="20"/>
      <c r="S214" s="20"/>
      <c r="T214" s="21"/>
    </row>
    <row r="215" spans="2:20" x14ac:dyDescent="0.75">
      <c r="B215" s="22"/>
      <c r="D215" s="20"/>
      <c r="E215" s="20"/>
      <c r="F215" s="20"/>
      <c r="G215" s="20"/>
      <c r="H215" s="20"/>
      <c r="I215" s="20"/>
      <c r="J215" s="20"/>
      <c r="L215" s="20"/>
      <c r="M215" s="20"/>
      <c r="N215" s="20"/>
      <c r="O215" s="20"/>
      <c r="P215" s="20"/>
      <c r="Q215" s="20"/>
      <c r="R215" s="20"/>
      <c r="S215" s="20"/>
      <c r="T215" s="21"/>
    </row>
    <row r="216" spans="2:20" x14ac:dyDescent="0.75">
      <c r="B216" s="22"/>
      <c r="D216" s="20"/>
      <c r="E216" s="20"/>
      <c r="F216" s="20"/>
      <c r="G216" s="20"/>
      <c r="H216" s="20"/>
      <c r="I216" s="20"/>
      <c r="J216" s="20"/>
      <c r="L216" s="20"/>
      <c r="M216" s="20"/>
      <c r="N216" s="20"/>
      <c r="O216" s="20"/>
      <c r="P216" s="20"/>
      <c r="Q216" s="20"/>
      <c r="R216" s="20"/>
      <c r="S216" s="20"/>
      <c r="T216" s="21"/>
    </row>
    <row r="217" spans="2:20" x14ac:dyDescent="0.75">
      <c r="B217" s="22"/>
      <c r="D217" s="20"/>
      <c r="E217" s="20"/>
      <c r="F217" s="20"/>
      <c r="G217" s="20"/>
      <c r="H217" s="20"/>
      <c r="I217" s="20"/>
      <c r="J217" s="20"/>
      <c r="L217" s="20"/>
      <c r="M217" s="20"/>
      <c r="N217" s="20"/>
      <c r="O217" s="20"/>
      <c r="P217" s="20"/>
      <c r="Q217" s="20"/>
      <c r="R217" s="20"/>
      <c r="S217" s="20"/>
      <c r="T217" s="21"/>
    </row>
    <row r="218" spans="2:20" x14ac:dyDescent="0.75">
      <c r="B218" s="22"/>
      <c r="D218" s="20"/>
      <c r="E218" s="20"/>
      <c r="F218" s="20"/>
      <c r="G218" s="20"/>
      <c r="H218" s="20"/>
      <c r="I218" s="20"/>
      <c r="J218" s="20"/>
      <c r="L218" s="20"/>
      <c r="M218" s="20"/>
      <c r="N218" s="20"/>
      <c r="O218" s="20"/>
      <c r="P218" s="20"/>
      <c r="Q218" s="20"/>
      <c r="R218" s="20"/>
      <c r="S218" s="20"/>
      <c r="T218" s="21"/>
    </row>
    <row r="219" spans="2:20" x14ac:dyDescent="0.75">
      <c r="B219" s="22"/>
      <c r="D219" s="20"/>
      <c r="E219" s="20"/>
      <c r="F219" s="20"/>
      <c r="G219" s="20"/>
      <c r="H219" s="20"/>
      <c r="I219" s="20"/>
      <c r="J219" s="20"/>
      <c r="L219" s="20"/>
      <c r="M219" s="20"/>
      <c r="N219" s="20"/>
      <c r="O219" s="20"/>
      <c r="P219" s="20"/>
      <c r="Q219" s="20"/>
      <c r="R219" s="20"/>
      <c r="S219" s="20"/>
      <c r="T219" s="21"/>
    </row>
    <row r="220" spans="2:20" x14ac:dyDescent="0.75">
      <c r="B220" s="22"/>
      <c r="D220" s="20"/>
      <c r="E220" s="20"/>
      <c r="F220" s="20"/>
      <c r="G220" s="20"/>
      <c r="H220" s="20"/>
      <c r="I220" s="20"/>
      <c r="J220" s="20"/>
      <c r="L220" s="20"/>
      <c r="M220" s="20"/>
      <c r="N220" s="20"/>
      <c r="O220" s="20"/>
      <c r="P220" s="20"/>
      <c r="Q220" s="20"/>
      <c r="R220" s="20"/>
      <c r="S220" s="20"/>
      <c r="T220" s="21"/>
    </row>
    <row r="221" spans="2:20" x14ac:dyDescent="0.75">
      <c r="B221" s="22"/>
      <c r="D221" s="20"/>
      <c r="E221" s="20"/>
      <c r="F221" s="20"/>
      <c r="G221" s="20"/>
      <c r="H221" s="20"/>
      <c r="I221" s="20"/>
      <c r="J221" s="20"/>
      <c r="L221" s="20"/>
      <c r="M221" s="20"/>
      <c r="N221" s="20"/>
      <c r="O221" s="20"/>
      <c r="P221" s="20"/>
      <c r="Q221" s="20"/>
      <c r="R221" s="20"/>
      <c r="S221" s="20"/>
      <c r="T221" s="21"/>
    </row>
    <row r="222" spans="2:20" x14ac:dyDescent="0.75">
      <c r="B222" s="22"/>
      <c r="D222" s="20"/>
      <c r="E222" s="20"/>
      <c r="F222" s="20"/>
      <c r="G222" s="20"/>
      <c r="H222" s="20"/>
      <c r="I222" s="20"/>
      <c r="J222" s="20"/>
      <c r="L222" s="20"/>
      <c r="M222" s="20"/>
      <c r="N222" s="20"/>
      <c r="O222" s="20"/>
      <c r="P222" s="20"/>
      <c r="Q222" s="20"/>
      <c r="R222" s="20"/>
      <c r="S222" s="20"/>
      <c r="T222" s="21"/>
    </row>
    <row r="223" spans="2:20" x14ac:dyDescent="0.75">
      <c r="B223" s="22"/>
      <c r="D223" s="20"/>
      <c r="E223" s="20"/>
      <c r="F223" s="20"/>
      <c r="G223" s="20"/>
      <c r="H223" s="20"/>
      <c r="I223" s="20"/>
      <c r="J223" s="20"/>
      <c r="L223" s="20"/>
      <c r="M223" s="20"/>
      <c r="N223" s="20"/>
      <c r="O223" s="20"/>
      <c r="P223" s="20"/>
      <c r="Q223" s="20"/>
      <c r="R223" s="20"/>
      <c r="S223" s="20"/>
      <c r="T223" s="21"/>
    </row>
    <row r="224" spans="2:20" x14ac:dyDescent="0.75">
      <c r="B224" s="22"/>
      <c r="D224" s="20"/>
      <c r="E224" s="20"/>
      <c r="F224" s="20"/>
      <c r="G224" s="20"/>
      <c r="H224" s="20"/>
      <c r="I224" s="20"/>
      <c r="J224" s="20"/>
      <c r="L224" s="20"/>
      <c r="M224" s="20"/>
      <c r="N224" s="20"/>
      <c r="O224" s="20"/>
      <c r="P224" s="20"/>
      <c r="Q224" s="20"/>
      <c r="R224" s="20"/>
      <c r="S224" s="20"/>
      <c r="T224" s="21"/>
    </row>
    <row r="225" spans="2:20" x14ac:dyDescent="0.75">
      <c r="B225" s="22"/>
      <c r="D225" s="20"/>
      <c r="E225" s="20"/>
      <c r="F225" s="20"/>
      <c r="G225" s="20"/>
      <c r="H225" s="20"/>
      <c r="I225" s="20"/>
      <c r="J225" s="20"/>
      <c r="L225" s="20"/>
      <c r="M225" s="20"/>
      <c r="N225" s="20"/>
      <c r="O225" s="20"/>
      <c r="P225" s="20"/>
      <c r="Q225" s="20"/>
      <c r="R225" s="20"/>
      <c r="S225" s="20"/>
      <c r="T225" s="21"/>
    </row>
    <row r="226" spans="2:20" x14ac:dyDescent="0.75">
      <c r="B226" s="22"/>
      <c r="D226" s="20"/>
      <c r="E226" s="20"/>
      <c r="F226" s="20"/>
      <c r="G226" s="20"/>
      <c r="H226" s="20"/>
      <c r="I226" s="20"/>
      <c r="J226" s="20"/>
      <c r="L226" s="20"/>
      <c r="M226" s="20"/>
      <c r="N226" s="20"/>
      <c r="O226" s="20"/>
      <c r="P226" s="20"/>
      <c r="Q226" s="20"/>
      <c r="R226" s="20"/>
      <c r="S226" s="20"/>
      <c r="T226" s="21"/>
    </row>
    <row r="227" spans="2:20" x14ac:dyDescent="0.75">
      <c r="B227" s="22"/>
      <c r="D227" s="20"/>
      <c r="E227" s="20"/>
      <c r="F227" s="20"/>
      <c r="G227" s="20"/>
      <c r="H227" s="20"/>
      <c r="I227" s="20"/>
      <c r="J227" s="20"/>
      <c r="L227" s="20"/>
      <c r="M227" s="20"/>
      <c r="N227" s="20"/>
      <c r="O227" s="20"/>
      <c r="P227" s="20"/>
      <c r="Q227" s="20"/>
      <c r="R227" s="20"/>
      <c r="S227" s="20"/>
      <c r="T227" s="21"/>
    </row>
    <row r="228" spans="2:20" x14ac:dyDescent="0.75">
      <c r="B228" s="22"/>
      <c r="D228" s="20"/>
      <c r="E228" s="20"/>
      <c r="F228" s="20"/>
      <c r="G228" s="20"/>
      <c r="H228" s="20"/>
      <c r="I228" s="20"/>
      <c r="J228" s="20"/>
      <c r="L228" s="20"/>
      <c r="M228" s="20"/>
      <c r="N228" s="20"/>
      <c r="O228" s="20"/>
      <c r="P228" s="20"/>
      <c r="Q228" s="20"/>
      <c r="R228" s="20"/>
      <c r="S228" s="20"/>
      <c r="T228" s="21"/>
    </row>
    <row r="229" spans="2:20" x14ac:dyDescent="0.75">
      <c r="B229" s="22"/>
      <c r="D229" s="20"/>
      <c r="E229" s="20"/>
      <c r="F229" s="20"/>
      <c r="G229" s="20"/>
      <c r="H229" s="20"/>
      <c r="I229" s="20"/>
      <c r="J229" s="20"/>
      <c r="L229" s="20"/>
      <c r="M229" s="20"/>
      <c r="N229" s="20"/>
      <c r="O229" s="20"/>
      <c r="P229" s="20"/>
      <c r="Q229" s="20"/>
      <c r="R229" s="20"/>
      <c r="S229" s="20"/>
      <c r="T229" s="21"/>
    </row>
    <row r="230" spans="2:20" x14ac:dyDescent="0.75">
      <c r="B230" s="22"/>
      <c r="D230" s="20"/>
      <c r="E230" s="20"/>
      <c r="F230" s="20"/>
      <c r="G230" s="20"/>
      <c r="H230" s="20"/>
      <c r="I230" s="20"/>
      <c r="J230" s="20"/>
      <c r="L230" s="20"/>
      <c r="M230" s="20"/>
      <c r="N230" s="20"/>
      <c r="O230" s="20"/>
      <c r="P230" s="20"/>
      <c r="Q230" s="20"/>
      <c r="R230" s="20"/>
      <c r="S230" s="20"/>
      <c r="T230" s="21"/>
    </row>
    <row r="231" spans="2:20" x14ac:dyDescent="0.75">
      <c r="B231" s="22"/>
      <c r="D231" s="20"/>
      <c r="E231" s="20"/>
      <c r="F231" s="20"/>
      <c r="G231" s="20"/>
      <c r="H231" s="20"/>
      <c r="I231" s="20"/>
      <c r="J231" s="20"/>
      <c r="L231" s="20"/>
      <c r="M231" s="20"/>
      <c r="N231" s="20"/>
      <c r="O231" s="20"/>
      <c r="P231" s="20"/>
      <c r="Q231" s="20"/>
      <c r="R231" s="20"/>
      <c r="S231" s="20"/>
      <c r="T231" s="21"/>
    </row>
    <row r="232" spans="2:20" x14ac:dyDescent="0.75">
      <c r="B232" s="22"/>
      <c r="D232" s="20"/>
      <c r="E232" s="20"/>
      <c r="F232" s="20"/>
      <c r="G232" s="20"/>
      <c r="H232" s="20"/>
      <c r="I232" s="20"/>
      <c r="J232" s="20"/>
      <c r="L232" s="20"/>
      <c r="M232" s="20"/>
      <c r="N232" s="20"/>
      <c r="O232" s="20"/>
      <c r="P232" s="20"/>
      <c r="Q232" s="20"/>
      <c r="R232" s="20"/>
      <c r="S232" s="20"/>
      <c r="T232" s="21"/>
    </row>
    <row r="233" spans="2:20" x14ac:dyDescent="0.75">
      <c r="B233" s="22"/>
      <c r="D233" s="20"/>
      <c r="E233" s="20"/>
      <c r="F233" s="20"/>
      <c r="G233" s="20"/>
      <c r="H233" s="20"/>
      <c r="I233" s="20"/>
      <c r="J233" s="20"/>
      <c r="L233" s="20"/>
      <c r="M233" s="20"/>
      <c r="N233" s="20"/>
      <c r="O233" s="20"/>
      <c r="P233" s="20"/>
      <c r="Q233" s="20"/>
      <c r="R233" s="20"/>
      <c r="S233" s="20"/>
      <c r="T233" s="21"/>
    </row>
    <row r="234" spans="2:20" x14ac:dyDescent="0.75">
      <c r="B234" s="22"/>
      <c r="D234" s="20"/>
      <c r="E234" s="20"/>
      <c r="F234" s="20"/>
      <c r="G234" s="20"/>
      <c r="H234" s="20"/>
      <c r="I234" s="20"/>
      <c r="J234" s="20"/>
      <c r="L234" s="20"/>
      <c r="M234" s="20"/>
      <c r="N234" s="20"/>
      <c r="O234" s="20"/>
      <c r="P234" s="20"/>
      <c r="Q234" s="20"/>
      <c r="R234" s="20"/>
      <c r="S234" s="20"/>
      <c r="T234" s="21"/>
    </row>
    <row r="235" spans="2:20" x14ac:dyDescent="0.75">
      <c r="B235" s="22"/>
      <c r="D235" s="20"/>
      <c r="E235" s="20"/>
      <c r="F235" s="20"/>
      <c r="G235" s="20"/>
      <c r="H235" s="20"/>
      <c r="I235" s="20"/>
      <c r="J235" s="20"/>
      <c r="L235" s="20"/>
      <c r="M235" s="20"/>
      <c r="N235" s="20"/>
      <c r="O235" s="20"/>
      <c r="P235" s="20"/>
      <c r="Q235" s="20"/>
      <c r="R235" s="20"/>
      <c r="S235" s="20"/>
      <c r="T235" s="21"/>
    </row>
    <row r="236" spans="2:20" x14ac:dyDescent="0.75">
      <c r="B236" s="22"/>
      <c r="D236" s="20"/>
      <c r="E236" s="20"/>
      <c r="F236" s="20"/>
      <c r="G236" s="20"/>
      <c r="H236" s="20"/>
      <c r="I236" s="20"/>
      <c r="J236" s="20"/>
      <c r="L236" s="20"/>
      <c r="M236" s="20"/>
      <c r="N236" s="20"/>
      <c r="O236" s="20"/>
      <c r="P236" s="20"/>
      <c r="Q236" s="20"/>
      <c r="R236" s="20"/>
      <c r="S236" s="20"/>
      <c r="T236" s="21"/>
    </row>
    <row r="237" spans="2:20" x14ac:dyDescent="0.75">
      <c r="B237" s="22"/>
      <c r="D237" s="20"/>
      <c r="E237" s="20"/>
      <c r="F237" s="20"/>
      <c r="G237" s="20"/>
      <c r="H237" s="20"/>
      <c r="I237" s="20"/>
      <c r="J237" s="20"/>
      <c r="L237" s="20"/>
      <c r="M237" s="20"/>
      <c r="N237" s="20"/>
      <c r="O237" s="20"/>
      <c r="P237" s="20"/>
      <c r="Q237" s="20"/>
      <c r="R237" s="20"/>
      <c r="S237" s="20"/>
      <c r="T237" s="21"/>
    </row>
    <row r="238" spans="2:20" x14ac:dyDescent="0.75">
      <c r="B238" s="22"/>
      <c r="D238" s="20"/>
      <c r="E238" s="20"/>
      <c r="F238" s="20"/>
      <c r="G238" s="20"/>
      <c r="H238" s="20"/>
      <c r="I238" s="20"/>
      <c r="J238" s="20"/>
      <c r="L238" s="20"/>
      <c r="M238" s="20"/>
      <c r="N238" s="20"/>
      <c r="O238" s="20"/>
      <c r="P238" s="20"/>
      <c r="Q238" s="20"/>
      <c r="R238" s="20"/>
      <c r="S238" s="20"/>
      <c r="T238" s="21"/>
    </row>
    <row r="239" spans="2:20" x14ac:dyDescent="0.75">
      <c r="B239" s="22"/>
      <c r="D239" s="20"/>
      <c r="E239" s="20"/>
      <c r="F239" s="20"/>
      <c r="G239" s="20"/>
      <c r="H239" s="20"/>
      <c r="I239" s="20"/>
      <c r="J239" s="20"/>
      <c r="L239" s="20"/>
      <c r="M239" s="20"/>
      <c r="N239" s="20"/>
      <c r="O239" s="20"/>
      <c r="P239" s="20"/>
      <c r="Q239" s="20"/>
      <c r="R239" s="20"/>
      <c r="S239" s="20"/>
      <c r="T239" s="21"/>
    </row>
    <row r="240" spans="2:20" x14ac:dyDescent="0.75">
      <c r="B240" s="22"/>
      <c r="D240" s="20"/>
      <c r="E240" s="20"/>
      <c r="F240" s="20"/>
      <c r="G240" s="20"/>
      <c r="H240" s="20"/>
      <c r="I240" s="20"/>
      <c r="J240" s="20"/>
      <c r="L240" s="20"/>
      <c r="M240" s="20"/>
      <c r="N240" s="20"/>
      <c r="O240" s="20"/>
      <c r="P240" s="20"/>
      <c r="Q240" s="20"/>
      <c r="R240" s="20"/>
      <c r="S240" s="20"/>
      <c r="T240" s="21"/>
    </row>
    <row r="241" spans="2:20" x14ac:dyDescent="0.75">
      <c r="B241" s="22"/>
      <c r="D241" s="20"/>
      <c r="E241" s="20"/>
      <c r="F241" s="20"/>
      <c r="G241" s="20"/>
      <c r="H241" s="20"/>
      <c r="I241" s="20"/>
      <c r="J241" s="20"/>
      <c r="L241" s="20"/>
      <c r="M241" s="20"/>
      <c r="N241" s="20"/>
      <c r="O241" s="20"/>
      <c r="P241" s="20"/>
      <c r="Q241" s="20"/>
      <c r="R241" s="20"/>
      <c r="S241" s="20"/>
      <c r="T241" s="21"/>
    </row>
    <row r="242" spans="2:20" x14ac:dyDescent="0.75">
      <c r="B242" s="22"/>
      <c r="D242" s="20"/>
      <c r="E242" s="20"/>
      <c r="F242" s="20"/>
      <c r="G242" s="20"/>
      <c r="H242" s="20"/>
      <c r="I242" s="20"/>
      <c r="J242" s="20"/>
      <c r="L242" s="20"/>
      <c r="M242" s="20"/>
      <c r="N242" s="20"/>
      <c r="O242" s="20"/>
      <c r="P242" s="20"/>
      <c r="Q242" s="20"/>
      <c r="R242" s="20"/>
      <c r="S242" s="20"/>
      <c r="T242" s="21"/>
    </row>
    <row r="243" spans="2:20" x14ac:dyDescent="0.75">
      <c r="B243" s="22"/>
      <c r="D243" s="20"/>
      <c r="E243" s="20"/>
      <c r="F243" s="20"/>
      <c r="G243" s="20"/>
      <c r="H243" s="20"/>
      <c r="I243" s="20"/>
      <c r="J243" s="20"/>
      <c r="L243" s="20"/>
      <c r="M243" s="20"/>
      <c r="N243" s="20"/>
      <c r="O243" s="20"/>
      <c r="P243" s="20"/>
      <c r="Q243" s="20"/>
      <c r="R243" s="20"/>
      <c r="S243" s="20"/>
      <c r="T243" s="21"/>
    </row>
    <row r="244" spans="2:20" x14ac:dyDescent="0.75">
      <c r="B244" s="22"/>
      <c r="D244" s="20"/>
      <c r="E244" s="20"/>
      <c r="F244" s="20"/>
      <c r="G244" s="20"/>
      <c r="H244" s="20"/>
      <c r="I244" s="20"/>
      <c r="J244" s="20"/>
      <c r="L244" s="20"/>
      <c r="M244" s="20"/>
      <c r="N244" s="20"/>
      <c r="O244" s="20"/>
      <c r="P244" s="20"/>
      <c r="Q244" s="20"/>
      <c r="R244" s="20"/>
      <c r="S244" s="20"/>
      <c r="T244" s="21"/>
    </row>
    <row r="245" spans="2:20" x14ac:dyDescent="0.75">
      <c r="B245" s="22"/>
      <c r="D245" s="20"/>
      <c r="E245" s="20"/>
      <c r="F245" s="20"/>
      <c r="G245" s="20"/>
      <c r="H245" s="20"/>
      <c r="I245" s="20"/>
      <c r="J245" s="20"/>
      <c r="L245" s="20"/>
      <c r="M245" s="20"/>
      <c r="N245" s="20"/>
      <c r="O245" s="20"/>
      <c r="P245" s="20"/>
      <c r="Q245" s="20"/>
      <c r="R245" s="20"/>
      <c r="S245" s="20"/>
      <c r="T245" s="21"/>
    </row>
    <row r="246" spans="2:20" x14ac:dyDescent="0.75">
      <c r="B246" s="22"/>
      <c r="D246" s="20"/>
      <c r="E246" s="20"/>
      <c r="F246" s="20"/>
      <c r="G246" s="20"/>
      <c r="H246" s="20"/>
      <c r="I246" s="20"/>
      <c r="J246" s="20"/>
      <c r="L246" s="20"/>
      <c r="M246" s="20"/>
      <c r="N246" s="20"/>
      <c r="O246" s="20"/>
      <c r="P246" s="20"/>
      <c r="Q246" s="20"/>
      <c r="R246" s="20"/>
      <c r="S246" s="20"/>
      <c r="T246" s="21"/>
    </row>
    <row r="247" spans="2:20" x14ac:dyDescent="0.75">
      <c r="B247" s="22"/>
      <c r="D247" s="20"/>
      <c r="E247" s="20"/>
      <c r="F247" s="20"/>
      <c r="G247" s="20"/>
      <c r="H247" s="20"/>
      <c r="I247" s="20"/>
      <c r="J247" s="20"/>
      <c r="L247" s="20"/>
      <c r="M247" s="20"/>
      <c r="N247" s="20"/>
      <c r="O247" s="20"/>
      <c r="P247" s="20"/>
      <c r="Q247" s="20"/>
      <c r="R247" s="20"/>
      <c r="S247" s="20"/>
      <c r="T247" s="21"/>
    </row>
    <row r="248" spans="2:20" x14ac:dyDescent="0.75">
      <c r="B248" s="22"/>
      <c r="D248" s="20"/>
      <c r="E248" s="20"/>
      <c r="F248" s="20"/>
      <c r="G248" s="20"/>
      <c r="H248" s="20"/>
      <c r="I248" s="20"/>
      <c r="J248" s="20"/>
      <c r="L248" s="20"/>
      <c r="M248" s="20"/>
      <c r="N248" s="20"/>
      <c r="O248" s="20"/>
      <c r="P248" s="20"/>
      <c r="Q248" s="20"/>
      <c r="R248" s="20"/>
      <c r="S248" s="20"/>
      <c r="T248" s="21"/>
    </row>
    <row r="249" spans="2:20" x14ac:dyDescent="0.75">
      <c r="B249" s="22"/>
      <c r="D249" s="20"/>
      <c r="E249" s="20"/>
      <c r="F249" s="20"/>
      <c r="G249" s="20"/>
      <c r="H249" s="20"/>
      <c r="I249" s="20"/>
      <c r="J249" s="20"/>
      <c r="L249" s="20"/>
      <c r="M249" s="20"/>
      <c r="N249" s="20"/>
      <c r="O249" s="20"/>
      <c r="P249" s="20"/>
      <c r="Q249" s="20"/>
      <c r="R249" s="20"/>
      <c r="S249" s="20"/>
      <c r="T249" s="21"/>
    </row>
    <row r="250" spans="2:20" x14ac:dyDescent="0.75">
      <c r="B250" s="22"/>
      <c r="D250" s="20"/>
      <c r="E250" s="20"/>
      <c r="F250" s="20"/>
      <c r="G250" s="20"/>
      <c r="H250" s="20"/>
      <c r="I250" s="20"/>
      <c r="J250" s="20"/>
      <c r="L250" s="20"/>
      <c r="M250" s="20"/>
      <c r="N250" s="20"/>
      <c r="O250" s="20"/>
      <c r="P250" s="20"/>
      <c r="Q250" s="20"/>
      <c r="R250" s="20"/>
      <c r="S250" s="20"/>
      <c r="T250" s="21"/>
    </row>
    <row r="251" spans="2:20" x14ac:dyDescent="0.75">
      <c r="B251" s="22"/>
      <c r="D251" s="20"/>
      <c r="E251" s="20"/>
      <c r="F251" s="20"/>
      <c r="G251" s="20"/>
      <c r="H251" s="20"/>
      <c r="I251" s="20"/>
      <c r="J251" s="20"/>
      <c r="L251" s="20"/>
      <c r="M251" s="20"/>
      <c r="N251" s="20"/>
      <c r="O251" s="20"/>
      <c r="P251" s="20"/>
      <c r="Q251" s="20"/>
      <c r="R251" s="20"/>
      <c r="S251" s="20"/>
      <c r="T251" s="21"/>
    </row>
    <row r="252" spans="2:20" x14ac:dyDescent="0.75">
      <c r="B252" s="22"/>
      <c r="D252" s="20"/>
      <c r="E252" s="20"/>
      <c r="F252" s="20"/>
      <c r="G252" s="20"/>
      <c r="H252" s="20"/>
      <c r="I252" s="20"/>
      <c r="J252" s="20"/>
      <c r="L252" s="20"/>
      <c r="M252" s="20"/>
      <c r="N252" s="20"/>
      <c r="O252" s="20"/>
      <c r="P252" s="20"/>
      <c r="Q252" s="20"/>
      <c r="R252" s="20"/>
      <c r="S252" s="20"/>
      <c r="T252" s="21"/>
    </row>
    <row r="253" spans="2:20" x14ac:dyDescent="0.75">
      <c r="B253" s="22"/>
      <c r="D253" s="20"/>
      <c r="E253" s="20"/>
      <c r="F253" s="20"/>
      <c r="G253" s="20"/>
      <c r="H253" s="20"/>
      <c r="I253" s="20"/>
      <c r="J253" s="20"/>
      <c r="L253" s="20"/>
      <c r="M253" s="20"/>
      <c r="N253" s="20"/>
      <c r="O253" s="20"/>
      <c r="P253" s="20"/>
      <c r="Q253" s="20"/>
      <c r="R253" s="20"/>
      <c r="S253" s="20"/>
      <c r="T253" s="21"/>
    </row>
    <row r="254" spans="2:20" x14ac:dyDescent="0.75">
      <c r="B254" s="22"/>
      <c r="D254" s="20"/>
      <c r="E254" s="20"/>
      <c r="F254" s="20"/>
      <c r="G254" s="20"/>
      <c r="H254" s="20"/>
      <c r="I254" s="20"/>
      <c r="J254" s="20"/>
      <c r="L254" s="20"/>
      <c r="M254" s="20"/>
      <c r="N254" s="20"/>
      <c r="O254" s="20"/>
      <c r="P254" s="20"/>
      <c r="Q254" s="20"/>
      <c r="R254" s="20"/>
      <c r="S254" s="20"/>
      <c r="T254" s="21"/>
    </row>
    <row r="255" spans="2:20" x14ac:dyDescent="0.75">
      <c r="B255" s="22"/>
      <c r="D255" s="20"/>
      <c r="E255" s="20"/>
      <c r="F255" s="20"/>
      <c r="G255" s="20"/>
      <c r="H255" s="20"/>
      <c r="I255" s="20"/>
      <c r="J255" s="20"/>
      <c r="L255" s="20"/>
      <c r="M255" s="20"/>
      <c r="N255" s="20"/>
      <c r="O255" s="20"/>
      <c r="P255" s="20"/>
      <c r="Q255" s="20"/>
      <c r="R255" s="20"/>
      <c r="S255" s="20"/>
      <c r="T255" s="21"/>
    </row>
    <row r="256" spans="2:20" x14ac:dyDescent="0.75">
      <c r="B256" s="22"/>
      <c r="D256" s="20"/>
      <c r="E256" s="20"/>
      <c r="F256" s="20"/>
      <c r="G256" s="20"/>
      <c r="H256" s="20"/>
      <c r="I256" s="20"/>
      <c r="J256" s="20"/>
      <c r="L256" s="20"/>
      <c r="M256" s="20"/>
      <c r="N256" s="20"/>
      <c r="O256" s="20"/>
      <c r="P256" s="20"/>
      <c r="Q256" s="20"/>
      <c r="R256" s="20"/>
      <c r="S256" s="20"/>
      <c r="T256" s="21"/>
    </row>
    <row r="257" spans="2:20" x14ac:dyDescent="0.75">
      <c r="B257" s="22"/>
      <c r="D257" s="20"/>
      <c r="E257" s="20"/>
      <c r="F257" s="20"/>
      <c r="G257" s="20"/>
      <c r="H257" s="20"/>
      <c r="I257" s="20"/>
      <c r="J257" s="20"/>
      <c r="L257" s="20"/>
      <c r="M257" s="20"/>
      <c r="N257" s="20"/>
      <c r="O257" s="20"/>
      <c r="P257" s="20"/>
      <c r="Q257" s="20"/>
      <c r="R257" s="20"/>
      <c r="S257" s="20"/>
      <c r="T257" s="21"/>
    </row>
    <row r="258" spans="2:20" x14ac:dyDescent="0.75">
      <c r="B258" s="22"/>
      <c r="D258" s="20"/>
      <c r="E258" s="20"/>
      <c r="F258" s="20"/>
      <c r="G258" s="20"/>
      <c r="H258" s="20"/>
      <c r="I258" s="20"/>
      <c r="J258" s="20"/>
      <c r="L258" s="20"/>
      <c r="M258" s="20"/>
      <c r="N258" s="20"/>
      <c r="O258" s="20"/>
      <c r="P258" s="20"/>
      <c r="Q258" s="20"/>
      <c r="R258" s="20"/>
      <c r="S258" s="20"/>
      <c r="T258" s="21"/>
    </row>
    <row r="259" spans="2:20" x14ac:dyDescent="0.75">
      <c r="B259" s="22"/>
      <c r="D259" s="20"/>
      <c r="E259" s="20"/>
      <c r="F259" s="20"/>
      <c r="G259" s="20"/>
      <c r="H259" s="20"/>
      <c r="I259" s="20"/>
      <c r="J259" s="20"/>
      <c r="L259" s="20"/>
      <c r="M259" s="20"/>
      <c r="N259" s="20"/>
      <c r="O259" s="20"/>
      <c r="P259" s="20"/>
      <c r="Q259" s="20"/>
      <c r="R259" s="20"/>
      <c r="S259" s="20"/>
      <c r="T259" s="21"/>
    </row>
    <row r="260" spans="2:20" x14ac:dyDescent="0.75">
      <c r="B260" s="22"/>
      <c r="D260" s="20"/>
      <c r="E260" s="20"/>
      <c r="F260" s="20"/>
      <c r="G260" s="20"/>
      <c r="H260" s="20"/>
      <c r="I260" s="20"/>
      <c r="J260" s="20"/>
      <c r="L260" s="20"/>
      <c r="M260" s="20"/>
      <c r="N260" s="20"/>
      <c r="O260" s="20"/>
      <c r="P260" s="20"/>
      <c r="Q260" s="20"/>
      <c r="R260" s="20"/>
      <c r="S260" s="20"/>
      <c r="T260" s="21"/>
    </row>
    <row r="261" spans="2:20" x14ac:dyDescent="0.75">
      <c r="B261" s="22"/>
      <c r="D261" s="20"/>
      <c r="E261" s="20"/>
      <c r="F261" s="20"/>
      <c r="G261" s="20"/>
      <c r="H261" s="20"/>
      <c r="I261" s="20"/>
      <c r="J261" s="20"/>
      <c r="L261" s="20"/>
      <c r="M261" s="20"/>
      <c r="N261" s="20"/>
      <c r="O261" s="20"/>
      <c r="P261" s="20"/>
      <c r="Q261" s="20"/>
      <c r="R261" s="20"/>
      <c r="S261" s="20"/>
      <c r="T261" s="21"/>
    </row>
    <row r="262" spans="2:20" x14ac:dyDescent="0.75">
      <c r="B262" s="22"/>
      <c r="D262" s="20"/>
      <c r="E262" s="20"/>
      <c r="F262" s="20"/>
      <c r="G262" s="20"/>
      <c r="H262" s="20"/>
      <c r="I262" s="20"/>
      <c r="J262" s="20"/>
      <c r="L262" s="20"/>
      <c r="M262" s="20"/>
      <c r="N262" s="20"/>
      <c r="O262" s="20"/>
      <c r="P262" s="20"/>
      <c r="Q262" s="20"/>
      <c r="R262" s="20"/>
      <c r="S262" s="20"/>
      <c r="T262" s="21"/>
    </row>
    <row r="263" spans="2:20" x14ac:dyDescent="0.75">
      <c r="B263" s="22"/>
      <c r="D263" s="20"/>
      <c r="E263" s="20"/>
      <c r="F263" s="20"/>
      <c r="G263" s="20"/>
      <c r="H263" s="20"/>
      <c r="I263" s="20"/>
      <c r="J263" s="20"/>
      <c r="L263" s="20"/>
      <c r="M263" s="20"/>
      <c r="N263" s="20"/>
      <c r="O263" s="20"/>
      <c r="P263" s="20"/>
      <c r="Q263" s="20"/>
      <c r="R263" s="20"/>
      <c r="S263" s="20"/>
      <c r="T263" s="21"/>
    </row>
    <row r="264" spans="2:20" x14ac:dyDescent="0.75">
      <c r="B264" s="22"/>
      <c r="D264" s="20"/>
      <c r="E264" s="20"/>
      <c r="F264" s="20"/>
      <c r="G264" s="20"/>
      <c r="H264" s="20"/>
      <c r="I264" s="20"/>
      <c r="J264" s="20"/>
      <c r="L264" s="20"/>
      <c r="M264" s="20"/>
      <c r="N264" s="20"/>
      <c r="O264" s="20"/>
      <c r="P264" s="20"/>
      <c r="Q264" s="20"/>
      <c r="R264" s="20"/>
      <c r="S264" s="20"/>
      <c r="T264" s="21"/>
    </row>
    <row r="265" spans="2:20" x14ac:dyDescent="0.75">
      <c r="B265" s="22"/>
      <c r="D265" s="20"/>
      <c r="E265" s="20"/>
      <c r="F265" s="20"/>
      <c r="G265" s="20"/>
      <c r="H265" s="20"/>
      <c r="I265" s="20"/>
      <c r="J265" s="20"/>
      <c r="L265" s="20"/>
      <c r="M265" s="20"/>
      <c r="N265" s="20"/>
      <c r="O265" s="20"/>
      <c r="P265" s="20"/>
      <c r="Q265" s="20"/>
      <c r="R265" s="20"/>
      <c r="S265" s="20"/>
      <c r="T265" s="21"/>
    </row>
    <row r="266" spans="2:20" x14ac:dyDescent="0.75">
      <c r="B266" s="22"/>
      <c r="D266" s="20"/>
      <c r="E266" s="20"/>
      <c r="F266" s="20"/>
      <c r="G266" s="20"/>
      <c r="H266" s="20"/>
      <c r="I266" s="20"/>
      <c r="J266" s="20"/>
      <c r="L266" s="20"/>
      <c r="M266" s="20"/>
      <c r="N266" s="20"/>
      <c r="O266" s="20"/>
      <c r="P266" s="20"/>
      <c r="Q266" s="20"/>
      <c r="R266" s="20"/>
      <c r="S266" s="20"/>
      <c r="T266" s="21"/>
    </row>
    <row r="267" spans="2:20" x14ac:dyDescent="0.75">
      <c r="B267" s="22"/>
      <c r="D267" s="20"/>
      <c r="E267" s="20"/>
      <c r="F267" s="20"/>
      <c r="G267" s="20"/>
      <c r="H267" s="20"/>
      <c r="I267" s="20"/>
      <c r="J267" s="20"/>
      <c r="L267" s="20"/>
      <c r="M267" s="20"/>
      <c r="N267" s="20"/>
      <c r="O267" s="20"/>
      <c r="P267" s="20"/>
      <c r="Q267" s="20"/>
      <c r="R267" s="20"/>
      <c r="S267" s="20"/>
      <c r="T267" s="21"/>
    </row>
    <row r="268" spans="2:20" x14ac:dyDescent="0.75">
      <c r="B268" s="22"/>
      <c r="D268" s="20"/>
      <c r="E268" s="20"/>
      <c r="F268" s="20"/>
      <c r="G268" s="20"/>
      <c r="H268" s="20"/>
      <c r="I268" s="20"/>
      <c r="J268" s="20"/>
      <c r="L268" s="20"/>
      <c r="M268" s="20"/>
      <c r="N268" s="20"/>
      <c r="O268" s="20"/>
      <c r="P268" s="20"/>
      <c r="Q268" s="20"/>
      <c r="R268" s="20"/>
      <c r="S268" s="20"/>
      <c r="T268" s="21"/>
    </row>
    <row r="269" spans="2:20" x14ac:dyDescent="0.75">
      <c r="B269" s="22"/>
      <c r="D269" s="20"/>
      <c r="E269" s="20"/>
      <c r="F269" s="20"/>
      <c r="G269" s="20"/>
      <c r="H269" s="20"/>
      <c r="I269" s="20"/>
      <c r="J269" s="20"/>
      <c r="L269" s="20"/>
      <c r="M269" s="20"/>
      <c r="N269" s="20"/>
      <c r="O269" s="20"/>
      <c r="P269" s="20"/>
      <c r="Q269" s="20"/>
      <c r="R269" s="20"/>
      <c r="S269" s="20"/>
      <c r="T269" s="21"/>
    </row>
    <row r="270" spans="2:20" x14ac:dyDescent="0.75">
      <c r="B270" s="22"/>
      <c r="D270" s="20"/>
      <c r="E270" s="20"/>
      <c r="F270" s="20"/>
      <c r="G270" s="20"/>
      <c r="H270" s="20"/>
      <c r="I270" s="20"/>
      <c r="J270" s="20"/>
      <c r="L270" s="20"/>
      <c r="M270" s="20"/>
      <c r="N270" s="20"/>
      <c r="O270" s="20"/>
      <c r="P270" s="20"/>
      <c r="Q270" s="20"/>
      <c r="R270" s="20"/>
      <c r="S270" s="20"/>
      <c r="T270" s="21"/>
    </row>
    <row r="271" spans="2:20" x14ac:dyDescent="0.75">
      <c r="B271" s="22"/>
      <c r="D271" s="20"/>
      <c r="E271" s="20"/>
      <c r="F271" s="20"/>
      <c r="G271" s="20"/>
      <c r="H271" s="20"/>
      <c r="I271" s="20"/>
      <c r="J271" s="20"/>
      <c r="L271" s="20"/>
      <c r="M271" s="20"/>
      <c r="N271" s="20"/>
      <c r="O271" s="20"/>
      <c r="P271" s="20"/>
      <c r="Q271" s="20"/>
      <c r="R271" s="20"/>
      <c r="S271" s="20"/>
      <c r="T271" s="21"/>
    </row>
    <row r="272" spans="2:20" x14ac:dyDescent="0.75">
      <c r="B272" s="22"/>
      <c r="D272" s="20"/>
      <c r="E272" s="20"/>
      <c r="F272" s="20"/>
      <c r="G272" s="20"/>
      <c r="H272" s="20"/>
      <c r="I272" s="20"/>
      <c r="J272" s="20"/>
      <c r="L272" s="20"/>
      <c r="M272" s="20"/>
      <c r="N272" s="20"/>
      <c r="O272" s="20"/>
      <c r="P272" s="20"/>
      <c r="Q272" s="20"/>
      <c r="R272" s="20"/>
      <c r="S272" s="20"/>
      <c r="T272" s="21"/>
    </row>
    <row r="273" spans="2:20" x14ac:dyDescent="0.75">
      <c r="B273" s="22"/>
      <c r="D273" s="20"/>
      <c r="E273" s="20"/>
      <c r="F273" s="20"/>
      <c r="G273" s="20"/>
      <c r="H273" s="20"/>
      <c r="I273" s="20"/>
      <c r="J273" s="20"/>
      <c r="L273" s="20"/>
      <c r="M273" s="20"/>
      <c r="N273" s="20"/>
      <c r="O273" s="20"/>
      <c r="P273" s="20"/>
      <c r="Q273" s="20"/>
      <c r="R273" s="20"/>
      <c r="S273" s="20"/>
      <c r="T273" s="21"/>
    </row>
    <row r="274" spans="2:20" x14ac:dyDescent="0.75">
      <c r="B274" s="22"/>
      <c r="D274" s="20"/>
      <c r="E274" s="20"/>
      <c r="F274" s="20"/>
      <c r="G274" s="20"/>
      <c r="H274" s="20"/>
      <c r="I274" s="20"/>
      <c r="J274" s="20"/>
      <c r="L274" s="20"/>
      <c r="M274" s="20"/>
      <c r="N274" s="20"/>
      <c r="O274" s="20"/>
      <c r="P274" s="20"/>
      <c r="Q274" s="20"/>
      <c r="R274" s="20"/>
      <c r="S274" s="20"/>
      <c r="T274" s="21"/>
    </row>
    <row r="275" spans="2:20" x14ac:dyDescent="0.75">
      <c r="B275" s="22"/>
      <c r="D275" s="20"/>
      <c r="E275" s="20"/>
      <c r="F275" s="20"/>
      <c r="G275" s="20"/>
      <c r="H275" s="20"/>
      <c r="I275" s="20"/>
      <c r="J275" s="20"/>
      <c r="L275" s="20"/>
      <c r="M275" s="20"/>
      <c r="N275" s="20"/>
      <c r="O275" s="20"/>
      <c r="P275" s="20"/>
      <c r="Q275" s="20"/>
      <c r="R275" s="20"/>
      <c r="S275" s="20"/>
      <c r="T275" s="21"/>
    </row>
    <row r="276" spans="2:20" x14ac:dyDescent="0.75">
      <c r="B276" s="22"/>
      <c r="D276" s="20"/>
      <c r="E276" s="20"/>
      <c r="F276" s="20"/>
      <c r="G276" s="20"/>
      <c r="H276" s="20"/>
      <c r="I276" s="20"/>
      <c r="J276" s="20"/>
      <c r="L276" s="20"/>
      <c r="M276" s="20"/>
      <c r="N276" s="20"/>
      <c r="O276" s="20"/>
      <c r="P276" s="20"/>
      <c r="Q276" s="20"/>
      <c r="R276" s="20"/>
      <c r="S276" s="20"/>
      <c r="T276" s="21"/>
    </row>
    <row r="277" spans="2:20" x14ac:dyDescent="0.75">
      <c r="B277" s="22"/>
      <c r="D277" s="20"/>
      <c r="E277" s="20"/>
      <c r="F277" s="20"/>
      <c r="G277" s="20"/>
      <c r="H277" s="20"/>
      <c r="I277" s="20"/>
      <c r="J277" s="20"/>
      <c r="L277" s="20"/>
      <c r="M277" s="20"/>
      <c r="N277" s="20"/>
      <c r="O277" s="20"/>
      <c r="P277" s="20"/>
      <c r="Q277" s="20"/>
      <c r="R277" s="20"/>
      <c r="S277" s="20"/>
      <c r="T277" s="21"/>
    </row>
    <row r="278" spans="2:20" x14ac:dyDescent="0.75">
      <c r="B278" s="22"/>
      <c r="D278" s="20"/>
      <c r="E278" s="20"/>
      <c r="F278" s="20"/>
      <c r="G278" s="20"/>
      <c r="H278" s="20"/>
      <c r="I278" s="20"/>
      <c r="J278" s="20"/>
      <c r="L278" s="20"/>
      <c r="M278" s="20"/>
      <c r="N278" s="20"/>
      <c r="O278" s="20"/>
      <c r="P278" s="20"/>
      <c r="Q278" s="20"/>
      <c r="R278" s="20"/>
      <c r="S278" s="20"/>
      <c r="T278" s="21"/>
    </row>
    <row r="279" spans="2:20" x14ac:dyDescent="0.75">
      <c r="B279" s="22"/>
      <c r="D279" s="20"/>
      <c r="E279" s="20"/>
      <c r="F279" s="20"/>
      <c r="G279" s="20"/>
      <c r="H279" s="20"/>
      <c r="I279" s="20"/>
      <c r="J279" s="20"/>
      <c r="L279" s="20"/>
      <c r="M279" s="20"/>
      <c r="N279" s="20"/>
      <c r="O279" s="20"/>
      <c r="P279" s="20"/>
      <c r="Q279" s="20"/>
      <c r="R279" s="20"/>
      <c r="S279" s="20"/>
      <c r="T279" s="21"/>
    </row>
    <row r="280" spans="2:20" x14ac:dyDescent="0.75">
      <c r="B280" s="22"/>
      <c r="D280" s="20"/>
      <c r="E280" s="20"/>
      <c r="F280" s="20"/>
      <c r="G280" s="20"/>
      <c r="H280" s="20"/>
      <c r="I280" s="20"/>
      <c r="J280" s="20"/>
      <c r="L280" s="20"/>
      <c r="M280" s="20"/>
      <c r="N280" s="20"/>
      <c r="O280" s="20"/>
      <c r="P280" s="20"/>
      <c r="Q280" s="20"/>
      <c r="R280" s="20"/>
      <c r="S280" s="20"/>
      <c r="T280" s="21"/>
    </row>
    <row r="281" spans="2:20" x14ac:dyDescent="0.75">
      <c r="C281" s="12"/>
    </row>
    <row r="282" spans="2:20" x14ac:dyDescent="0.75">
      <c r="C282" s="12"/>
    </row>
    <row r="283" spans="2:20" x14ac:dyDescent="0.75">
      <c r="C283" s="12"/>
    </row>
    <row r="284" spans="2:20" x14ac:dyDescent="0.75">
      <c r="C284" s="12"/>
    </row>
    <row r="285" spans="2:20" x14ac:dyDescent="0.75">
      <c r="C285" s="12"/>
    </row>
    <row r="286" spans="2:20" x14ac:dyDescent="0.75">
      <c r="C286" s="12"/>
    </row>
    <row r="287" spans="2:20" x14ac:dyDescent="0.75">
      <c r="C287" s="12"/>
    </row>
    <row r="288" spans="2:20" x14ac:dyDescent="0.75">
      <c r="C288" s="12"/>
    </row>
    <row r="289" spans="3:3" x14ac:dyDescent="0.75">
      <c r="C289" s="12"/>
    </row>
    <row r="290" spans="3:3" x14ac:dyDescent="0.75">
      <c r="C290" s="12"/>
    </row>
    <row r="291" spans="3:3" x14ac:dyDescent="0.75">
      <c r="C291" s="12"/>
    </row>
    <row r="292" spans="3:3" x14ac:dyDescent="0.75">
      <c r="C292" s="12"/>
    </row>
    <row r="293" spans="3:3" x14ac:dyDescent="0.75">
      <c r="C293" s="12"/>
    </row>
    <row r="294" spans="3:3" x14ac:dyDescent="0.75">
      <c r="C294" s="12"/>
    </row>
    <row r="295" spans="3:3" x14ac:dyDescent="0.75">
      <c r="C295" s="12"/>
    </row>
    <row r="296" spans="3:3" x14ac:dyDescent="0.75">
      <c r="C296" s="12"/>
    </row>
    <row r="297" spans="3:3" x14ac:dyDescent="0.75">
      <c r="C297" s="12"/>
    </row>
    <row r="298" spans="3:3" x14ac:dyDescent="0.75">
      <c r="C298" s="12"/>
    </row>
    <row r="299" spans="3:3" x14ac:dyDescent="0.75">
      <c r="C299" s="12"/>
    </row>
    <row r="300" spans="3:3" x14ac:dyDescent="0.75">
      <c r="C300" s="12"/>
    </row>
    <row r="301" spans="3:3" x14ac:dyDescent="0.75">
      <c r="C301" s="12"/>
    </row>
    <row r="302" spans="3:3" x14ac:dyDescent="0.75">
      <c r="C302" s="12"/>
    </row>
    <row r="303" spans="3:3" x14ac:dyDescent="0.75">
      <c r="C303" s="12"/>
    </row>
    <row r="304" spans="3:3" x14ac:dyDescent="0.75">
      <c r="C304" s="12"/>
    </row>
    <row r="305" spans="3:3" x14ac:dyDescent="0.75">
      <c r="C305" s="12"/>
    </row>
    <row r="306" spans="3:3" x14ac:dyDescent="0.75">
      <c r="C306" s="12"/>
    </row>
    <row r="307" spans="3:3" x14ac:dyDescent="0.75">
      <c r="C307" s="12"/>
    </row>
    <row r="308" spans="3:3" x14ac:dyDescent="0.75">
      <c r="C308" s="12"/>
    </row>
    <row r="309" spans="3:3" x14ac:dyDescent="0.75">
      <c r="C309" s="12"/>
    </row>
    <row r="310" spans="3:3" x14ac:dyDescent="0.75">
      <c r="C310" s="12"/>
    </row>
    <row r="311" spans="3:3" x14ac:dyDescent="0.75">
      <c r="C311" s="12"/>
    </row>
    <row r="312" spans="3:3" x14ac:dyDescent="0.75">
      <c r="C312" s="12"/>
    </row>
    <row r="313" spans="3:3" x14ac:dyDescent="0.75">
      <c r="C313" s="12"/>
    </row>
    <row r="314" spans="3:3" x14ac:dyDescent="0.75">
      <c r="C314" s="12"/>
    </row>
    <row r="315" spans="3:3" x14ac:dyDescent="0.75">
      <c r="C315" s="12"/>
    </row>
    <row r="316" spans="3:3" x14ac:dyDescent="0.75">
      <c r="C316" s="12"/>
    </row>
    <row r="317" spans="3:3" x14ac:dyDescent="0.75">
      <c r="C317" s="12"/>
    </row>
    <row r="318" spans="3:3" x14ac:dyDescent="0.75">
      <c r="C318" s="12"/>
    </row>
    <row r="319" spans="3:3" x14ac:dyDescent="0.75">
      <c r="C319" s="12"/>
    </row>
    <row r="320" spans="3:3" x14ac:dyDescent="0.75">
      <c r="C320" s="12"/>
    </row>
    <row r="321" spans="3:3" x14ac:dyDescent="0.75">
      <c r="C321" s="12"/>
    </row>
    <row r="322" spans="3:3" x14ac:dyDescent="0.75">
      <c r="C322" s="12"/>
    </row>
    <row r="323" spans="3:3" x14ac:dyDescent="0.75">
      <c r="C323" s="12"/>
    </row>
    <row r="324" spans="3:3" x14ac:dyDescent="0.75">
      <c r="C324" s="12"/>
    </row>
    <row r="325" spans="3:3" x14ac:dyDescent="0.75">
      <c r="C325" s="12"/>
    </row>
    <row r="326" spans="3:3" x14ac:dyDescent="0.75">
      <c r="C326" s="12"/>
    </row>
    <row r="327" spans="3:3" x14ac:dyDescent="0.75">
      <c r="C327" s="12"/>
    </row>
    <row r="328" spans="3:3" x14ac:dyDescent="0.75">
      <c r="C328" s="12"/>
    </row>
    <row r="329" spans="3:3" x14ac:dyDescent="0.75">
      <c r="C329" s="12"/>
    </row>
    <row r="330" spans="3:3" x14ac:dyDescent="0.75">
      <c r="C330" s="12"/>
    </row>
    <row r="331" spans="3:3" x14ac:dyDescent="0.75">
      <c r="C331" s="12"/>
    </row>
    <row r="332" spans="3:3" x14ac:dyDescent="0.75">
      <c r="C332" s="12"/>
    </row>
    <row r="333" spans="3:3" x14ac:dyDescent="0.75">
      <c r="C333" s="12"/>
    </row>
    <row r="334" spans="3:3" x14ac:dyDescent="0.75">
      <c r="C334" s="12"/>
    </row>
    <row r="335" spans="3:3" x14ac:dyDescent="0.75">
      <c r="C335" s="12"/>
    </row>
    <row r="336" spans="3:3" x14ac:dyDescent="0.75">
      <c r="C336" s="12"/>
    </row>
    <row r="337" spans="3:3" x14ac:dyDescent="0.75">
      <c r="C337" s="12"/>
    </row>
    <row r="338" spans="3:3" x14ac:dyDescent="0.75">
      <c r="C338" s="12"/>
    </row>
    <row r="339" spans="3:3" x14ac:dyDescent="0.75">
      <c r="C339" s="12"/>
    </row>
    <row r="340" spans="3:3" x14ac:dyDescent="0.75">
      <c r="C340" s="12"/>
    </row>
    <row r="341" spans="3:3" x14ac:dyDescent="0.75">
      <c r="C341" s="12"/>
    </row>
    <row r="342" spans="3:3" x14ac:dyDescent="0.75">
      <c r="C342" s="12"/>
    </row>
    <row r="343" spans="3:3" x14ac:dyDescent="0.75">
      <c r="C343" s="12"/>
    </row>
    <row r="344" spans="3:3" x14ac:dyDescent="0.75">
      <c r="C344" s="12"/>
    </row>
    <row r="345" spans="3:3" x14ac:dyDescent="0.75">
      <c r="C345" s="12"/>
    </row>
    <row r="346" spans="3:3" x14ac:dyDescent="0.75">
      <c r="C346" s="12"/>
    </row>
    <row r="347" spans="3:3" x14ac:dyDescent="0.75">
      <c r="C347" s="12"/>
    </row>
    <row r="348" spans="3:3" x14ac:dyDescent="0.75">
      <c r="C348" s="12"/>
    </row>
    <row r="349" spans="3:3" x14ac:dyDescent="0.75">
      <c r="C349" s="12"/>
    </row>
    <row r="350" spans="3:3" x14ac:dyDescent="0.75">
      <c r="C350" s="12"/>
    </row>
    <row r="351" spans="3:3" x14ac:dyDescent="0.75">
      <c r="C351" s="12"/>
    </row>
    <row r="352" spans="3:3" x14ac:dyDescent="0.75">
      <c r="C352" s="12"/>
    </row>
    <row r="353" spans="3:3" x14ac:dyDescent="0.75">
      <c r="C353" s="12"/>
    </row>
    <row r="354" spans="3:3" x14ac:dyDescent="0.75">
      <c r="C354" s="12"/>
    </row>
    <row r="355" spans="3:3" x14ac:dyDescent="0.75">
      <c r="C355" s="12"/>
    </row>
    <row r="356" spans="3:3" x14ac:dyDescent="0.75">
      <c r="C356" s="12"/>
    </row>
    <row r="357" spans="3:3" x14ac:dyDescent="0.75">
      <c r="C357" s="12"/>
    </row>
    <row r="358" spans="3:3" x14ac:dyDescent="0.75">
      <c r="C358" s="12"/>
    </row>
    <row r="359" spans="3:3" x14ac:dyDescent="0.75">
      <c r="C359" s="12"/>
    </row>
    <row r="360" spans="3:3" x14ac:dyDescent="0.75">
      <c r="C360" s="12"/>
    </row>
    <row r="361" spans="3:3" x14ac:dyDescent="0.75">
      <c r="C361" s="12"/>
    </row>
    <row r="362" spans="3:3" x14ac:dyDescent="0.75">
      <c r="C362" s="12"/>
    </row>
    <row r="363" spans="3:3" x14ac:dyDescent="0.75">
      <c r="C363" s="12"/>
    </row>
    <row r="364" spans="3:3" x14ac:dyDescent="0.75">
      <c r="C364" s="12"/>
    </row>
    <row r="365" spans="3:3" x14ac:dyDescent="0.75">
      <c r="C365" s="12"/>
    </row>
    <row r="366" spans="3:3" x14ac:dyDescent="0.75">
      <c r="C366" s="12"/>
    </row>
    <row r="367" spans="3:3" x14ac:dyDescent="0.75">
      <c r="C367" s="12"/>
    </row>
    <row r="368" spans="3:3" x14ac:dyDescent="0.75">
      <c r="C368" s="12"/>
    </row>
    <row r="369" spans="3:3" x14ac:dyDescent="0.75">
      <c r="C369" s="12"/>
    </row>
    <row r="370" spans="3:3" x14ac:dyDescent="0.75">
      <c r="C370" s="12"/>
    </row>
    <row r="371" spans="3:3" x14ac:dyDescent="0.75">
      <c r="C371" s="12"/>
    </row>
    <row r="372" spans="3:3" x14ac:dyDescent="0.75">
      <c r="C372" s="12"/>
    </row>
    <row r="373" spans="3:3" x14ac:dyDescent="0.75">
      <c r="C373" s="12"/>
    </row>
    <row r="374" spans="3:3" x14ac:dyDescent="0.75">
      <c r="C374" s="12"/>
    </row>
    <row r="375" spans="3:3" x14ac:dyDescent="0.75">
      <c r="C375" s="12"/>
    </row>
    <row r="376" spans="3:3" x14ac:dyDescent="0.75">
      <c r="C376" s="12"/>
    </row>
    <row r="377" spans="3:3" x14ac:dyDescent="0.75">
      <c r="C377" s="12"/>
    </row>
    <row r="378" spans="3:3" x14ac:dyDescent="0.75">
      <c r="C378" s="12"/>
    </row>
    <row r="379" spans="3:3" x14ac:dyDescent="0.75">
      <c r="C379" s="12"/>
    </row>
    <row r="380" spans="3:3" x14ac:dyDescent="0.75">
      <c r="C380" s="12"/>
    </row>
    <row r="381" spans="3:3" x14ac:dyDescent="0.75">
      <c r="C381" s="12"/>
    </row>
    <row r="382" spans="3:3" x14ac:dyDescent="0.75">
      <c r="C382" s="12"/>
    </row>
    <row r="383" spans="3:3" x14ac:dyDescent="0.75">
      <c r="C383" s="12"/>
    </row>
    <row r="384" spans="3:3" x14ac:dyDescent="0.75">
      <c r="C384" s="12"/>
    </row>
    <row r="385" spans="3:3" x14ac:dyDescent="0.75">
      <c r="C385" s="12"/>
    </row>
    <row r="386" spans="3:3" x14ac:dyDescent="0.75">
      <c r="C386" s="12"/>
    </row>
    <row r="387" spans="3:3" x14ac:dyDescent="0.75">
      <c r="C387" s="12"/>
    </row>
    <row r="388" spans="3:3" x14ac:dyDescent="0.75">
      <c r="C388" s="12"/>
    </row>
    <row r="389" spans="3:3" x14ac:dyDescent="0.75">
      <c r="C389" s="12"/>
    </row>
    <row r="390" spans="3:3" x14ac:dyDescent="0.75">
      <c r="C390" s="12"/>
    </row>
    <row r="391" spans="3:3" x14ac:dyDescent="0.75">
      <c r="C391" s="12"/>
    </row>
    <row r="392" spans="3:3" x14ac:dyDescent="0.75">
      <c r="C392" s="12"/>
    </row>
    <row r="393" spans="3:3" x14ac:dyDescent="0.75">
      <c r="C393" s="12"/>
    </row>
    <row r="394" spans="3:3" x14ac:dyDescent="0.75">
      <c r="C394" s="12"/>
    </row>
    <row r="395" spans="3:3" x14ac:dyDescent="0.75">
      <c r="C395" s="12"/>
    </row>
    <row r="396" spans="3:3" x14ac:dyDescent="0.75">
      <c r="C396" s="12"/>
    </row>
    <row r="397" spans="3:3" x14ac:dyDescent="0.75">
      <c r="C397" s="12"/>
    </row>
    <row r="398" spans="3:3" x14ac:dyDescent="0.75">
      <c r="C398" s="12"/>
    </row>
    <row r="399" spans="3:3" x14ac:dyDescent="0.75">
      <c r="C399" s="12"/>
    </row>
    <row r="400" spans="3:3" x14ac:dyDescent="0.75">
      <c r="C400" s="12"/>
    </row>
    <row r="401" spans="3:3" x14ac:dyDescent="0.75">
      <c r="C401" s="12"/>
    </row>
    <row r="402" spans="3:3" x14ac:dyDescent="0.75">
      <c r="C402" s="12"/>
    </row>
    <row r="403" spans="3:3" x14ac:dyDescent="0.75">
      <c r="C403" s="12"/>
    </row>
    <row r="404" spans="3:3" x14ac:dyDescent="0.75">
      <c r="C404" s="12"/>
    </row>
    <row r="405" spans="3:3" x14ac:dyDescent="0.75">
      <c r="C405" s="12"/>
    </row>
    <row r="406" spans="3:3" x14ac:dyDescent="0.75">
      <c r="C406" s="12"/>
    </row>
    <row r="407" spans="3:3" x14ac:dyDescent="0.75">
      <c r="C407" s="12"/>
    </row>
    <row r="408" spans="3:3" x14ac:dyDescent="0.75">
      <c r="C408" s="12"/>
    </row>
    <row r="409" spans="3:3" x14ac:dyDescent="0.75">
      <c r="C409" s="12"/>
    </row>
    <row r="410" spans="3:3" x14ac:dyDescent="0.75">
      <c r="C410" s="12"/>
    </row>
    <row r="411" spans="3:3" x14ac:dyDescent="0.75">
      <c r="C411" s="12"/>
    </row>
    <row r="412" spans="3:3" x14ac:dyDescent="0.75">
      <c r="C412" s="12"/>
    </row>
    <row r="413" spans="3:3" x14ac:dyDescent="0.75">
      <c r="C413" s="12"/>
    </row>
    <row r="414" spans="3:3" x14ac:dyDescent="0.75">
      <c r="C414" s="12"/>
    </row>
    <row r="415" spans="3:3" x14ac:dyDescent="0.75">
      <c r="C415" s="12"/>
    </row>
    <row r="416" spans="3:3" x14ac:dyDescent="0.75">
      <c r="C416" s="12"/>
    </row>
    <row r="417" spans="3:3" x14ac:dyDescent="0.75">
      <c r="C417" s="12"/>
    </row>
    <row r="418" spans="3:3" x14ac:dyDescent="0.75">
      <c r="C418" s="12"/>
    </row>
    <row r="419" spans="3:3" x14ac:dyDescent="0.75">
      <c r="C419" s="12"/>
    </row>
    <row r="420" spans="3:3" x14ac:dyDescent="0.75">
      <c r="C420" s="12"/>
    </row>
    <row r="421" spans="3:3" x14ac:dyDescent="0.75">
      <c r="C421" s="12"/>
    </row>
    <row r="422" spans="3:3" x14ac:dyDescent="0.75">
      <c r="C422" s="12"/>
    </row>
    <row r="423" spans="3:3" x14ac:dyDescent="0.75">
      <c r="C423" s="12"/>
    </row>
    <row r="424" spans="3:3" x14ac:dyDescent="0.75">
      <c r="C424" s="12"/>
    </row>
    <row r="425" spans="3:3" x14ac:dyDescent="0.75">
      <c r="C425" s="12"/>
    </row>
    <row r="426" spans="3:3" x14ac:dyDescent="0.75">
      <c r="C426" s="12"/>
    </row>
    <row r="427" spans="3:3" x14ac:dyDescent="0.75">
      <c r="C427" s="12"/>
    </row>
    <row r="428" spans="3:3" x14ac:dyDescent="0.75">
      <c r="C428" s="12"/>
    </row>
    <row r="429" spans="3:3" x14ac:dyDescent="0.75">
      <c r="C429" s="12"/>
    </row>
    <row r="430" spans="3:3" x14ac:dyDescent="0.75">
      <c r="C430" s="12"/>
    </row>
    <row r="431" spans="3:3" x14ac:dyDescent="0.75">
      <c r="C431" s="12"/>
    </row>
    <row r="432" spans="3:3" x14ac:dyDescent="0.75">
      <c r="C432" s="12"/>
    </row>
    <row r="433" spans="3:3" x14ac:dyDescent="0.75">
      <c r="C433" s="12"/>
    </row>
    <row r="434" spans="3:3" x14ac:dyDescent="0.75">
      <c r="C434" s="12"/>
    </row>
    <row r="435" spans="3:3" x14ac:dyDescent="0.75">
      <c r="C435" s="12"/>
    </row>
    <row r="436" spans="3:3" x14ac:dyDescent="0.75">
      <c r="C436" s="12"/>
    </row>
    <row r="437" spans="3:3" x14ac:dyDescent="0.75">
      <c r="C437" s="12"/>
    </row>
    <row r="438" spans="3:3" x14ac:dyDescent="0.75">
      <c r="C438" s="12"/>
    </row>
    <row r="439" spans="3:3" x14ac:dyDescent="0.75">
      <c r="C439" s="12"/>
    </row>
    <row r="440" spans="3:3" x14ac:dyDescent="0.75">
      <c r="C440" s="12"/>
    </row>
    <row r="441" spans="3:3" x14ac:dyDescent="0.75">
      <c r="C441" s="12"/>
    </row>
    <row r="442" spans="3:3" x14ac:dyDescent="0.75">
      <c r="C442" s="12"/>
    </row>
    <row r="443" spans="3:3" x14ac:dyDescent="0.75">
      <c r="C443" s="12"/>
    </row>
    <row r="444" spans="3:3" x14ac:dyDescent="0.75">
      <c r="C444" s="12"/>
    </row>
    <row r="445" spans="3:3" x14ac:dyDescent="0.75">
      <c r="C445" s="12"/>
    </row>
    <row r="446" spans="3:3" x14ac:dyDescent="0.75">
      <c r="C446" s="12"/>
    </row>
    <row r="447" spans="3:3" x14ac:dyDescent="0.75">
      <c r="C447" s="12"/>
    </row>
    <row r="448" spans="3:3" x14ac:dyDescent="0.75">
      <c r="C448" s="12"/>
    </row>
    <row r="449" spans="3:3" x14ac:dyDescent="0.75">
      <c r="C449" s="12"/>
    </row>
    <row r="450" spans="3:3" x14ac:dyDescent="0.75">
      <c r="C450" s="12"/>
    </row>
    <row r="451" spans="3:3" x14ac:dyDescent="0.75">
      <c r="C451" s="12"/>
    </row>
    <row r="452" spans="3:3" x14ac:dyDescent="0.75">
      <c r="C452" s="12"/>
    </row>
    <row r="453" spans="3:3" x14ac:dyDescent="0.75">
      <c r="C453" s="12"/>
    </row>
    <row r="454" spans="3:3" x14ac:dyDescent="0.75">
      <c r="C454" s="12"/>
    </row>
    <row r="455" spans="3:3" x14ac:dyDescent="0.75">
      <c r="C455" s="12"/>
    </row>
    <row r="456" spans="3:3" x14ac:dyDescent="0.75">
      <c r="C456" s="12"/>
    </row>
    <row r="457" spans="3:3" x14ac:dyDescent="0.75">
      <c r="C457" s="12"/>
    </row>
    <row r="458" spans="3:3" x14ac:dyDescent="0.75">
      <c r="C458" s="12"/>
    </row>
    <row r="459" spans="3:3" x14ac:dyDescent="0.75">
      <c r="C459" s="12"/>
    </row>
    <row r="460" spans="3:3" x14ac:dyDescent="0.75">
      <c r="C460" s="12"/>
    </row>
    <row r="461" spans="3:3" x14ac:dyDescent="0.75">
      <c r="C461" s="12"/>
    </row>
    <row r="462" spans="3:3" x14ac:dyDescent="0.75">
      <c r="C462" s="12"/>
    </row>
    <row r="463" spans="3:3" x14ac:dyDescent="0.75">
      <c r="C463" s="12"/>
    </row>
    <row r="464" spans="3:3" x14ac:dyDescent="0.75">
      <c r="C464" s="12"/>
    </row>
    <row r="465" spans="3:3" x14ac:dyDescent="0.75">
      <c r="C465" s="12"/>
    </row>
    <row r="466" spans="3:3" x14ac:dyDescent="0.75">
      <c r="C466" s="12"/>
    </row>
    <row r="467" spans="3:3" x14ac:dyDescent="0.75">
      <c r="C467" s="12"/>
    </row>
    <row r="468" spans="3:3" x14ac:dyDescent="0.75">
      <c r="C468" s="12"/>
    </row>
    <row r="469" spans="3:3" x14ac:dyDescent="0.75">
      <c r="C469" s="12"/>
    </row>
    <row r="470" spans="3:3" x14ac:dyDescent="0.75">
      <c r="C470" s="12"/>
    </row>
    <row r="471" spans="3:3" x14ac:dyDescent="0.75">
      <c r="C471" s="12"/>
    </row>
    <row r="472" spans="3:3" x14ac:dyDescent="0.75">
      <c r="C472" s="12"/>
    </row>
    <row r="473" spans="3:3" x14ac:dyDescent="0.75">
      <c r="C473" s="12"/>
    </row>
    <row r="474" spans="3:3" x14ac:dyDescent="0.75">
      <c r="C474" s="12"/>
    </row>
    <row r="475" spans="3:3" x14ac:dyDescent="0.75">
      <c r="C475" s="12"/>
    </row>
    <row r="476" spans="3:3" x14ac:dyDescent="0.75">
      <c r="C476" s="12"/>
    </row>
    <row r="477" spans="3:3" x14ac:dyDescent="0.75">
      <c r="C477" s="12"/>
    </row>
    <row r="478" spans="3:3" x14ac:dyDescent="0.75">
      <c r="C478" s="12"/>
    </row>
    <row r="479" spans="3:3" x14ac:dyDescent="0.75">
      <c r="C479" s="12"/>
    </row>
    <row r="480" spans="3:3" x14ac:dyDescent="0.75">
      <c r="C480" s="12"/>
    </row>
    <row r="481" spans="3:3" x14ac:dyDescent="0.75">
      <c r="C481" s="12"/>
    </row>
    <row r="482" spans="3:3" x14ac:dyDescent="0.75">
      <c r="C482" s="12"/>
    </row>
    <row r="483" spans="3:3" x14ac:dyDescent="0.75">
      <c r="C483" s="12"/>
    </row>
    <row r="484" spans="3:3" x14ac:dyDescent="0.75">
      <c r="C484" s="12"/>
    </row>
    <row r="485" spans="3:3" x14ac:dyDescent="0.75">
      <c r="C485" s="12"/>
    </row>
    <row r="486" spans="3:3" x14ac:dyDescent="0.75">
      <c r="C486" s="12"/>
    </row>
    <row r="487" spans="3:3" x14ac:dyDescent="0.75">
      <c r="C487" s="12"/>
    </row>
    <row r="488" spans="3:3" x14ac:dyDescent="0.75">
      <c r="C488" s="12"/>
    </row>
    <row r="489" spans="3:3" x14ac:dyDescent="0.75">
      <c r="C489" s="12"/>
    </row>
    <row r="490" spans="3:3" x14ac:dyDescent="0.75">
      <c r="C490" s="12"/>
    </row>
    <row r="491" spans="3:3" x14ac:dyDescent="0.75">
      <c r="C491" s="12"/>
    </row>
    <row r="492" spans="3:3" x14ac:dyDescent="0.75">
      <c r="C492" s="12"/>
    </row>
    <row r="493" spans="3:3" x14ac:dyDescent="0.75">
      <c r="C493" s="12"/>
    </row>
    <row r="494" spans="3:3" x14ac:dyDescent="0.75">
      <c r="C494" s="12"/>
    </row>
    <row r="495" spans="3:3" x14ac:dyDescent="0.75">
      <c r="C495" s="12"/>
    </row>
    <row r="496" spans="3:3" x14ac:dyDescent="0.75">
      <c r="C496" s="12"/>
    </row>
    <row r="497" spans="3:3" x14ac:dyDescent="0.75">
      <c r="C497" s="12"/>
    </row>
    <row r="498" spans="3:3" x14ac:dyDescent="0.75">
      <c r="C498" s="12"/>
    </row>
    <row r="499" spans="3:3" x14ac:dyDescent="0.75">
      <c r="C499" s="12"/>
    </row>
    <row r="500" spans="3:3" x14ac:dyDescent="0.75">
      <c r="C500" s="12"/>
    </row>
    <row r="501" spans="3:3" x14ac:dyDescent="0.75">
      <c r="C501" s="12"/>
    </row>
    <row r="502" spans="3:3" x14ac:dyDescent="0.75">
      <c r="C502" s="12"/>
    </row>
    <row r="503" spans="3:3" x14ac:dyDescent="0.75">
      <c r="C503" s="12"/>
    </row>
    <row r="504" spans="3:3" x14ac:dyDescent="0.75">
      <c r="C504" s="12"/>
    </row>
    <row r="505" spans="3:3" x14ac:dyDescent="0.75">
      <c r="C505" s="12"/>
    </row>
    <row r="506" spans="3:3" x14ac:dyDescent="0.75">
      <c r="C506" s="12"/>
    </row>
    <row r="507" spans="3:3" x14ac:dyDescent="0.75">
      <c r="C507" s="12"/>
    </row>
    <row r="508" spans="3:3" x14ac:dyDescent="0.75">
      <c r="C508" s="12"/>
    </row>
    <row r="509" spans="3:3" x14ac:dyDescent="0.75">
      <c r="C509" s="12"/>
    </row>
    <row r="510" spans="3:3" x14ac:dyDescent="0.75">
      <c r="C510" s="12"/>
    </row>
    <row r="511" spans="3:3" x14ac:dyDescent="0.75">
      <c r="C511" s="12"/>
    </row>
    <row r="512" spans="3:3" x14ac:dyDescent="0.75">
      <c r="C512" s="12"/>
    </row>
    <row r="513" spans="3:3" x14ac:dyDescent="0.75">
      <c r="C513" s="12"/>
    </row>
    <row r="514" spans="3:3" x14ac:dyDescent="0.75">
      <c r="C514" s="12"/>
    </row>
    <row r="515" spans="3:3" x14ac:dyDescent="0.75">
      <c r="C515" s="12"/>
    </row>
    <row r="516" spans="3:3" x14ac:dyDescent="0.75">
      <c r="C516" s="12"/>
    </row>
    <row r="517" spans="3:3" x14ac:dyDescent="0.75">
      <c r="C517" s="12"/>
    </row>
    <row r="518" spans="3:3" x14ac:dyDescent="0.75">
      <c r="C518" s="12"/>
    </row>
    <row r="519" spans="3:3" x14ac:dyDescent="0.75">
      <c r="C519" s="12"/>
    </row>
    <row r="520" spans="3:3" x14ac:dyDescent="0.75">
      <c r="C520" s="12"/>
    </row>
    <row r="521" spans="3:3" x14ac:dyDescent="0.75">
      <c r="C521" s="12"/>
    </row>
    <row r="522" spans="3:3" x14ac:dyDescent="0.75">
      <c r="C522" s="12"/>
    </row>
    <row r="523" spans="3:3" x14ac:dyDescent="0.75">
      <c r="C523" s="12"/>
    </row>
    <row r="524" spans="3:3" x14ac:dyDescent="0.75">
      <c r="C524" s="12"/>
    </row>
    <row r="525" spans="3:3" x14ac:dyDescent="0.75">
      <c r="C525" s="12"/>
    </row>
    <row r="526" spans="3:3" x14ac:dyDescent="0.75">
      <c r="C526" s="12"/>
    </row>
    <row r="527" spans="3:3" x14ac:dyDescent="0.75">
      <c r="C527" s="12"/>
    </row>
    <row r="528" spans="3:3" x14ac:dyDescent="0.75">
      <c r="C528" s="12"/>
    </row>
    <row r="529" spans="3:3" x14ac:dyDescent="0.75">
      <c r="C529" s="12"/>
    </row>
    <row r="530" spans="3:3" x14ac:dyDescent="0.75">
      <c r="C530" s="12"/>
    </row>
    <row r="531" spans="3:3" x14ac:dyDescent="0.75">
      <c r="C531" s="12"/>
    </row>
    <row r="532" spans="3:3" x14ac:dyDescent="0.75">
      <c r="C532" s="12"/>
    </row>
    <row r="533" spans="3:3" x14ac:dyDescent="0.75">
      <c r="C533" s="12"/>
    </row>
    <row r="534" spans="3:3" x14ac:dyDescent="0.75">
      <c r="C534" s="12"/>
    </row>
    <row r="535" spans="3:3" x14ac:dyDescent="0.75">
      <c r="C535" s="12"/>
    </row>
    <row r="536" spans="3:3" x14ac:dyDescent="0.75">
      <c r="C536" s="12"/>
    </row>
    <row r="537" spans="3:3" x14ac:dyDescent="0.75">
      <c r="C537" s="12"/>
    </row>
    <row r="538" spans="3:3" x14ac:dyDescent="0.75">
      <c r="C538" s="12"/>
    </row>
    <row r="539" spans="3:3" x14ac:dyDescent="0.75">
      <c r="C539" s="12"/>
    </row>
    <row r="540" spans="3:3" x14ac:dyDescent="0.75">
      <c r="C540" s="12"/>
    </row>
    <row r="541" spans="3:3" x14ac:dyDescent="0.75">
      <c r="C541" s="12"/>
    </row>
    <row r="542" spans="3:3" x14ac:dyDescent="0.75">
      <c r="C542" s="12"/>
    </row>
    <row r="543" spans="3:3" x14ac:dyDescent="0.75">
      <c r="C543" s="12"/>
    </row>
    <row r="544" spans="3:3" x14ac:dyDescent="0.75">
      <c r="C544" s="12"/>
    </row>
    <row r="545" spans="3:3" x14ac:dyDescent="0.75">
      <c r="C545" s="12"/>
    </row>
    <row r="546" spans="3:3" x14ac:dyDescent="0.75">
      <c r="C546" s="12"/>
    </row>
    <row r="547" spans="3:3" x14ac:dyDescent="0.75">
      <c r="C547" s="12"/>
    </row>
    <row r="548" spans="3:3" x14ac:dyDescent="0.75">
      <c r="C548" s="12"/>
    </row>
    <row r="549" spans="3:3" x14ac:dyDescent="0.75">
      <c r="C549" s="12"/>
    </row>
    <row r="550" spans="3:3" x14ac:dyDescent="0.75">
      <c r="C550" s="12"/>
    </row>
    <row r="551" spans="3:3" x14ac:dyDescent="0.75">
      <c r="C551" s="12"/>
    </row>
    <row r="552" spans="3:3" x14ac:dyDescent="0.75">
      <c r="C552" s="12"/>
    </row>
    <row r="553" spans="3:3" x14ac:dyDescent="0.75">
      <c r="C553" s="12"/>
    </row>
    <row r="554" spans="3:3" x14ac:dyDescent="0.75">
      <c r="C554" s="12"/>
    </row>
    <row r="555" spans="3:3" x14ac:dyDescent="0.75">
      <c r="C555" s="12"/>
    </row>
    <row r="556" spans="3:3" x14ac:dyDescent="0.75">
      <c r="C556" s="12"/>
    </row>
    <row r="557" spans="3:3" x14ac:dyDescent="0.75">
      <c r="C557" s="12"/>
    </row>
    <row r="558" spans="3:3" x14ac:dyDescent="0.75">
      <c r="C558" s="12"/>
    </row>
    <row r="559" spans="3:3" x14ac:dyDescent="0.75">
      <c r="C559" s="12"/>
    </row>
    <row r="560" spans="3:3" x14ac:dyDescent="0.75">
      <c r="C560" s="12"/>
    </row>
    <row r="561" spans="3:3" x14ac:dyDescent="0.75">
      <c r="C561" s="12"/>
    </row>
    <row r="562" spans="3:3" x14ac:dyDescent="0.75">
      <c r="C562" s="12"/>
    </row>
    <row r="563" spans="3:3" x14ac:dyDescent="0.75">
      <c r="C563" s="12"/>
    </row>
    <row r="564" spans="3:3" x14ac:dyDescent="0.75">
      <c r="C564" s="12"/>
    </row>
    <row r="565" spans="3:3" x14ac:dyDescent="0.75">
      <c r="C565" s="12"/>
    </row>
    <row r="566" spans="3:3" x14ac:dyDescent="0.75">
      <c r="C566" s="12"/>
    </row>
    <row r="567" spans="3:3" x14ac:dyDescent="0.75">
      <c r="C567" s="12"/>
    </row>
    <row r="568" spans="3:3" x14ac:dyDescent="0.75">
      <c r="C568" s="12"/>
    </row>
    <row r="569" spans="3:3" x14ac:dyDescent="0.75">
      <c r="C569" s="12"/>
    </row>
    <row r="570" spans="3:3" x14ac:dyDescent="0.75">
      <c r="C570" s="12"/>
    </row>
    <row r="571" spans="3:3" x14ac:dyDescent="0.75">
      <c r="C571" s="12"/>
    </row>
    <row r="572" spans="3:3" x14ac:dyDescent="0.75">
      <c r="C572" s="12"/>
    </row>
    <row r="573" spans="3:3" x14ac:dyDescent="0.75">
      <c r="C573" s="12"/>
    </row>
    <row r="574" spans="3:3" x14ac:dyDescent="0.75">
      <c r="C574" s="12"/>
    </row>
    <row r="575" spans="3:3" x14ac:dyDescent="0.75">
      <c r="C575" s="12"/>
    </row>
    <row r="576" spans="3:3" x14ac:dyDescent="0.75">
      <c r="C576" s="12"/>
    </row>
    <row r="577" spans="3:3" x14ac:dyDescent="0.75">
      <c r="C577" s="12"/>
    </row>
    <row r="578" spans="3:3" x14ac:dyDescent="0.75">
      <c r="C578" s="12"/>
    </row>
    <row r="579" spans="3:3" x14ac:dyDescent="0.75">
      <c r="C579" s="12"/>
    </row>
    <row r="580" spans="3:3" x14ac:dyDescent="0.75">
      <c r="C580" s="12"/>
    </row>
    <row r="581" spans="3:3" x14ac:dyDescent="0.75">
      <c r="C581" s="12"/>
    </row>
    <row r="582" spans="3:3" x14ac:dyDescent="0.75">
      <c r="C582" s="12"/>
    </row>
    <row r="583" spans="3:3" x14ac:dyDescent="0.75">
      <c r="C583" s="12"/>
    </row>
    <row r="584" spans="3:3" x14ac:dyDescent="0.75">
      <c r="C584" s="12"/>
    </row>
    <row r="585" spans="3:3" x14ac:dyDescent="0.75">
      <c r="C585" s="12"/>
    </row>
    <row r="586" spans="3:3" x14ac:dyDescent="0.75">
      <c r="C586" s="12"/>
    </row>
    <row r="587" spans="3:3" x14ac:dyDescent="0.75">
      <c r="C587" s="12"/>
    </row>
    <row r="588" spans="3:3" x14ac:dyDescent="0.75">
      <c r="C588" s="12"/>
    </row>
    <row r="589" spans="3:3" x14ac:dyDescent="0.75">
      <c r="C589" s="12"/>
    </row>
    <row r="590" spans="3:3" x14ac:dyDescent="0.75">
      <c r="C590" s="12"/>
    </row>
    <row r="591" spans="3:3" x14ac:dyDescent="0.75">
      <c r="C591" s="12"/>
    </row>
    <row r="592" spans="3:3" x14ac:dyDescent="0.75">
      <c r="C592" s="12"/>
    </row>
    <row r="593" spans="3:3" x14ac:dyDescent="0.75">
      <c r="C593" s="12"/>
    </row>
    <row r="594" spans="3:3" x14ac:dyDescent="0.75">
      <c r="C594" s="12"/>
    </row>
    <row r="595" spans="3:3" x14ac:dyDescent="0.75">
      <c r="C595" s="12"/>
    </row>
    <row r="596" spans="3:3" x14ac:dyDescent="0.75">
      <c r="C596" s="12"/>
    </row>
    <row r="597" spans="3:3" x14ac:dyDescent="0.75">
      <c r="C597" s="12"/>
    </row>
    <row r="598" spans="3:3" x14ac:dyDescent="0.75">
      <c r="C598" s="12"/>
    </row>
    <row r="599" spans="3:3" x14ac:dyDescent="0.75">
      <c r="C599" s="12"/>
    </row>
    <row r="600" spans="3:3" x14ac:dyDescent="0.75">
      <c r="C600" s="12"/>
    </row>
    <row r="601" spans="3:3" x14ac:dyDescent="0.75">
      <c r="C601" s="12"/>
    </row>
    <row r="602" spans="3:3" x14ac:dyDescent="0.75">
      <c r="C602" s="12"/>
    </row>
    <row r="603" spans="3:3" x14ac:dyDescent="0.75">
      <c r="C603" s="12"/>
    </row>
    <row r="604" spans="3:3" x14ac:dyDescent="0.75">
      <c r="C604" s="12"/>
    </row>
    <row r="605" spans="3:3" x14ac:dyDescent="0.75">
      <c r="C605" s="12"/>
    </row>
    <row r="606" spans="3:3" x14ac:dyDescent="0.75">
      <c r="C606" s="12"/>
    </row>
    <row r="607" spans="3:3" x14ac:dyDescent="0.75">
      <c r="C607" s="12"/>
    </row>
    <row r="608" spans="3:3" x14ac:dyDescent="0.75">
      <c r="C608" s="12"/>
    </row>
    <row r="609" spans="3:3" x14ac:dyDescent="0.75">
      <c r="C609" s="12"/>
    </row>
    <row r="610" spans="3:3" x14ac:dyDescent="0.75">
      <c r="C610" s="12"/>
    </row>
    <row r="611" spans="3:3" x14ac:dyDescent="0.75">
      <c r="C611" s="12"/>
    </row>
    <row r="612" spans="3:3" x14ac:dyDescent="0.75">
      <c r="C612" s="12"/>
    </row>
    <row r="613" spans="3:3" x14ac:dyDescent="0.75">
      <c r="C613" s="12"/>
    </row>
    <row r="614" spans="3:3" x14ac:dyDescent="0.75">
      <c r="C614" s="12"/>
    </row>
    <row r="615" spans="3:3" x14ac:dyDescent="0.75">
      <c r="C615" s="12"/>
    </row>
    <row r="616" spans="3:3" x14ac:dyDescent="0.75">
      <c r="C616" s="12"/>
    </row>
    <row r="617" spans="3:3" x14ac:dyDescent="0.75">
      <c r="C617" s="12"/>
    </row>
    <row r="618" spans="3:3" x14ac:dyDescent="0.75">
      <c r="C618" s="12"/>
    </row>
    <row r="619" spans="3:3" x14ac:dyDescent="0.75">
      <c r="C619" s="12"/>
    </row>
    <row r="620" spans="3:3" x14ac:dyDescent="0.75">
      <c r="C620" s="12"/>
    </row>
    <row r="621" spans="3:3" x14ac:dyDescent="0.75">
      <c r="C621" s="12"/>
    </row>
    <row r="622" spans="3:3" x14ac:dyDescent="0.75">
      <c r="C622" s="12"/>
    </row>
    <row r="623" spans="3:3" x14ac:dyDescent="0.75">
      <c r="C623" s="12"/>
    </row>
    <row r="624" spans="3:3" x14ac:dyDescent="0.75">
      <c r="C624" s="12"/>
    </row>
    <row r="625" spans="3:3" x14ac:dyDescent="0.75">
      <c r="C625" s="12"/>
    </row>
    <row r="626" spans="3:3" x14ac:dyDescent="0.75">
      <c r="C626" s="12"/>
    </row>
    <row r="627" spans="3:3" x14ac:dyDescent="0.75">
      <c r="C627" s="12"/>
    </row>
    <row r="628" spans="3:3" x14ac:dyDescent="0.75">
      <c r="C628" s="12"/>
    </row>
    <row r="629" spans="3:3" x14ac:dyDescent="0.75">
      <c r="C629" s="12"/>
    </row>
    <row r="630" spans="3:3" x14ac:dyDescent="0.75">
      <c r="C630" s="12"/>
    </row>
    <row r="631" spans="3:3" x14ac:dyDescent="0.75">
      <c r="C631" s="12"/>
    </row>
    <row r="632" spans="3:3" x14ac:dyDescent="0.75">
      <c r="C632" s="12"/>
    </row>
    <row r="633" spans="3:3" x14ac:dyDescent="0.75">
      <c r="C633" s="12"/>
    </row>
    <row r="634" spans="3:3" x14ac:dyDescent="0.75">
      <c r="C634" s="12"/>
    </row>
    <row r="635" spans="3:3" x14ac:dyDescent="0.75">
      <c r="C635" s="12"/>
    </row>
    <row r="636" spans="3:3" x14ac:dyDescent="0.75">
      <c r="C636" s="12"/>
    </row>
    <row r="637" spans="3:3" x14ac:dyDescent="0.75">
      <c r="C637" s="12"/>
    </row>
    <row r="638" spans="3:3" x14ac:dyDescent="0.75">
      <c r="C638" s="12"/>
    </row>
    <row r="639" spans="3:3" x14ac:dyDescent="0.75">
      <c r="C639" s="12"/>
    </row>
    <row r="640" spans="3:3" x14ac:dyDescent="0.75">
      <c r="C640" s="12"/>
    </row>
    <row r="641" spans="3:3" x14ac:dyDescent="0.75">
      <c r="C641" s="12"/>
    </row>
    <row r="642" spans="3:3" x14ac:dyDescent="0.75">
      <c r="C642" s="12"/>
    </row>
    <row r="643" spans="3:3" x14ac:dyDescent="0.75">
      <c r="C643" s="12"/>
    </row>
    <row r="644" spans="3:3" x14ac:dyDescent="0.75">
      <c r="C644" s="12"/>
    </row>
    <row r="645" spans="3:3" x14ac:dyDescent="0.75">
      <c r="C645" s="12"/>
    </row>
    <row r="646" spans="3:3" x14ac:dyDescent="0.75">
      <c r="C646" s="12"/>
    </row>
    <row r="647" spans="3:3" x14ac:dyDescent="0.75">
      <c r="C647" s="12"/>
    </row>
    <row r="648" spans="3:3" x14ac:dyDescent="0.75">
      <c r="C648" s="12"/>
    </row>
    <row r="649" spans="3:3" x14ac:dyDescent="0.75">
      <c r="C649" s="12"/>
    </row>
    <row r="650" spans="3:3" x14ac:dyDescent="0.75">
      <c r="C650" s="12"/>
    </row>
    <row r="651" spans="3:3" x14ac:dyDescent="0.75">
      <c r="C651" s="12"/>
    </row>
    <row r="652" spans="3:3" x14ac:dyDescent="0.75">
      <c r="C652" s="12"/>
    </row>
    <row r="653" spans="3:3" x14ac:dyDescent="0.75">
      <c r="C653" s="12"/>
    </row>
    <row r="654" spans="3:3" x14ac:dyDescent="0.75">
      <c r="C654" s="12"/>
    </row>
    <row r="655" spans="3:3" x14ac:dyDescent="0.75">
      <c r="C655" s="12"/>
    </row>
    <row r="656" spans="3:3" x14ac:dyDescent="0.75">
      <c r="C656" s="12"/>
    </row>
    <row r="657" spans="3:3" x14ac:dyDescent="0.75">
      <c r="C657" s="12"/>
    </row>
    <row r="658" spans="3:3" x14ac:dyDescent="0.75">
      <c r="C658" s="12"/>
    </row>
    <row r="659" spans="3:3" x14ac:dyDescent="0.75">
      <c r="C659" s="12"/>
    </row>
    <row r="660" spans="3:3" x14ac:dyDescent="0.75">
      <c r="C660" s="12"/>
    </row>
    <row r="661" spans="3:3" x14ac:dyDescent="0.75">
      <c r="C661" s="12"/>
    </row>
    <row r="662" spans="3:3" x14ac:dyDescent="0.75">
      <c r="C662" s="12"/>
    </row>
    <row r="663" spans="3:3" x14ac:dyDescent="0.75">
      <c r="C663" s="12"/>
    </row>
    <row r="664" spans="3:3" x14ac:dyDescent="0.75">
      <c r="C664" s="12"/>
    </row>
    <row r="665" spans="3:3" x14ac:dyDescent="0.75">
      <c r="C665" s="12"/>
    </row>
    <row r="666" spans="3:3" x14ac:dyDescent="0.75">
      <c r="C666" s="12"/>
    </row>
    <row r="667" spans="3:3" x14ac:dyDescent="0.75">
      <c r="C667" s="12"/>
    </row>
    <row r="668" spans="3:3" x14ac:dyDescent="0.75">
      <c r="C668" s="12"/>
    </row>
    <row r="669" spans="3:3" x14ac:dyDescent="0.75">
      <c r="C669" s="12"/>
    </row>
    <row r="670" spans="3:3" x14ac:dyDescent="0.75">
      <c r="C670" s="12"/>
    </row>
    <row r="671" spans="3:3" x14ac:dyDescent="0.75">
      <c r="C671" s="12"/>
    </row>
    <row r="672" spans="3:3" x14ac:dyDescent="0.75">
      <c r="C672" s="12"/>
    </row>
    <row r="673" spans="3:3" x14ac:dyDescent="0.75">
      <c r="C673" s="12"/>
    </row>
    <row r="674" spans="3:3" x14ac:dyDescent="0.75">
      <c r="C674" s="12"/>
    </row>
    <row r="675" spans="3:3" x14ac:dyDescent="0.75">
      <c r="C675" s="12"/>
    </row>
    <row r="676" spans="3:3" x14ac:dyDescent="0.75">
      <c r="C676" s="12"/>
    </row>
    <row r="677" spans="3:3" x14ac:dyDescent="0.75">
      <c r="C677" s="12"/>
    </row>
    <row r="678" spans="3:3" x14ac:dyDescent="0.75">
      <c r="C678" s="12"/>
    </row>
    <row r="679" spans="3:3" x14ac:dyDescent="0.75">
      <c r="C679" s="12"/>
    </row>
    <row r="680" spans="3:3" x14ac:dyDescent="0.75">
      <c r="C680" s="12"/>
    </row>
    <row r="681" spans="3:3" x14ac:dyDescent="0.75">
      <c r="C681" s="12"/>
    </row>
    <row r="682" spans="3:3" x14ac:dyDescent="0.75">
      <c r="C682" s="12"/>
    </row>
    <row r="683" spans="3:3" x14ac:dyDescent="0.75">
      <c r="C683" s="12"/>
    </row>
    <row r="684" spans="3:3" x14ac:dyDescent="0.75">
      <c r="C684" s="12"/>
    </row>
    <row r="685" spans="3:3" x14ac:dyDescent="0.75">
      <c r="C685" s="12"/>
    </row>
    <row r="686" spans="3:3" x14ac:dyDescent="0.75">
      <c r="C686" s="12"/>
    </row>
    <row r="687" spans="3:3" x14ac:dyDescent="0.75">
      <c r="C687" s="12"/>
    </row>
    <row r="688" spans="3:3" x14ac:dyDescent="0.75">
      <c r="C688" s="12"/>
    </row>
    <row r="689" spans="3:3" x14ac:dyDescent="0.75">
      <c r="C689" s="12"/>
    </row>
    <row r="690" spans="3:3" x14ac:dyDescent="0.75">
      <c r="C690" s="12"/>
    </row>
    <row r="691" spans="3:3" x14ac:dyDescent="0.75">
      <c r="C691" s="12"/>
    </row>
    <row r="692" spans="3:3" x14ac:dyDescent="0.75">
      <c r="C692" s="12"/>
    </row>
    <row r="693" spans="3:3" x14ac:dyDescent="0.75">
      <c r="C693" s="12"/>
    </row>
    <row r="694" spans="3:3" x14ac:dyDescent="0.75">
      <c r="C694" s="12"/>
    </row>
    <row r="695" spans="3:3" x14ac:dyDescent="0.75">
      <c r="C695" s="12"/>
    </row>
    <row r="696" spans="3:3" x14ac:dyDescent="0.75">
      <c r="C696" s="12"/>
    </row>
    <row r="697" spans="3:3" x14ac:dyDescent="0.75">
      <c r="C697" s="12"/>
    </row>
    <row r="698" spans="3:3" x14ac:dyDescent="0.75">
      <c r="C698" s="12"/>
    </row>
    <row r="699" spans="3:3" x14ac:dyDescent="0.75">
      <c r="C699" s="12"/>
    </row>
    <row r="700" spans="3:3" x14ac:dyDescent="0.75">
      <c r="C700" s="12"/>
    </row>
    <row r="701" spans="3:3" x14ac:dyDescent="0.75">
      <c r="C701" s="12"/>
    </row>
    <row r="702" spans="3:3" x14ac:dyDescent="0.75">
      <c r="C702" s="12"/>
    </row>
    <row r="703" spans="3:3" x14ac:dyDescent="0.75">
      <c r="C703" s="12"/>
    </row>
    <row r="704" spans="3:3" x14ac:dyDescent="0.75">
      <c r="C704" s="12"/>
    </row>
    <row r="705" spans="3:3" x14ac:dyDescent="0.75">
      <c r="C705" s="12"/>
    </row>
    <row r="706" spans="3:3" x14ac:dyDescent="0.75">
      <c r="C706" s="12"/>
    </row>
    <row r="707" spans="3:3" x14ac:dyDescent="0.75">
      <c r="C707" s="12"/>
    </row>
    <row r="708" spans="3:3" x14ac:dyDescent="0.75">
      <c r="C708" s="12"/>
    </row>
    <row r="709" spans="3:3" x14ac:dyDescent="0.75">
      <c r="C709" s="12"/>
    </row>
    <row r="710" spans="3:3" x14ac:dyDescent="0.75">
      <c r="C710" s="12"/>
    </row>
    <row r="711" spans="3:3" x14ac:dyDescent="0.75">
      <c r="C711" s="12"/>
    </row>
    <row r="712" spans="3:3" x14ac:dyDescent="0.75">
      <c r="C712" s="12"/>
    </row>
    <row r="713" spans="3:3" x14ac:dyDescent="0.75">
      <c r="C713" s="12"/>
    </row>
    <row r="714" spans="3:3" x14ac:dyDescent="0.75">
      <c r="C714" s="12"/>
    </row>
    <row r="715" spans="3:3" x14ac:dyDescent="0.75">
      <c r="C715" s="12"/>
    </row>
    <row r="716" spans="3:3" x14ac:dyDescent="0.75">
      <c r="C716" s="12"/>
    </row>
    <row r="717" spans="3:3" x14ac:dyDescent="0.75">
      <c r="C717" s="12"/>
    </row>
    <row r="718" spans="3:3" x14ac:dyDescent="0.75">
      <c r="C718" s="12"/>
    </row>
    <row r="719" spans="3:3" x14ac:dyDescent="0.75">
      <c r="C719" s="12"/>
    </row>
    <row r="720" spans="3:3" x14ac:dyDescent="0.75">
      <c r="C720" s="12"/>
    </row>
    <row r="721" spans="3:3" x14ac:dyDescent="0.75">
      <c r="C721" s="12"/>
    </row>
    <row r="722" spans="3:3" x14ac:dyDescent="0.75">
      <c r="C722" s="12"/>
    </row>
    <row r="723" spans="3:3" x14ac:dyDescent="0.75">
      <c r="C723" s="12"/>
    </row>
    <row r="724" spans="3:3" x14ac:dyDescent="0.75">
      <c r="C724" s="12"/>
    </row>
    <row r="725" spans="3:3" x14ac:dyDescent="0.75">
      <c r="C725" s="12"/>
    </row>
    <row r="726" spans="3:3" x14ac:dyDescent="0.75">
      <c r="C726" s="12"/>
    </row>
    <row r="727" spans="3:3" x14ac:dyDescent="0.75">
      <c r="C727" s="12"/>
    </row>
    <row r="728" spans="3:3" x14ac:dyDescent="0.75">
      <c r="C728" s="12"/>
    </row>
    <row r="729" spans="3:3" x14ac:dyDescent="0.75">
      <c r="C729" s="12"/>
    </row>
    <row r="730" spans="3:3" x14ac:dyDescent="0.75">
      <c r="C730" s="12"/>
    </row>
    <row r="731" spans="3:3" x14ac:dyDescent="0.75">
      <c r="C731" s="12"/>
    </row>
    <row r="732" spans="3:3" x14ac:dyDescent="0.75">
      <c r="C732" s="12"/>
    </row>
    <row r="733" spans="3:3" x14ac:dyDescent="0.75">
      <c r="C733" s="12"/>
    </row>
    <row r="734" spans="3:3" x14ac:dyDescent="0.75">
      <c r="C734" s="12"/>
    </row>
    <row r="735" spans="3:3" x14ac:dyDescent="0.75">
      <c r="C735" s="12"/>
    </row>
    <row r="736" spans="3:3" x14ac:dyDescent="0.75">
      <c r="C736" s="12"/>
    </row>
    <row r="737" spans="3:3" x14ac:dyDescent="0.75">
      <c r="C737" s="12"/>
    </row>
    <row r="738" spans="3:3" x14ac:dyDescent="0.75">
      <c r="C738" s="12"/>
    </row>
    <row r="739" spans="3:3" x14ac:dyDescent="0.75">
      <c r="C739" s="12"/>
    </row>
    <row r="740" spans="3:3" x14ac:dyDescent="0.75">
      <c r="C740" s="12"/>
    </row>
    <row r="741" spans="3:3" x14ac:dyDescent="0.75">
      <c r="C741" s="12"/>
    </row>
    <row r="742" spans="3:3" x14ac:dyDescent="0.75">
      <c r="C742" s="12"/>
    </row>
    <row r="743" spans="3:3" x14ac:dyDescent="0.75">
      <c r="C743" s="12"/>
    </row>
    <row r="744" spans="3:3" x14ac:dyDescent="0.75">
      <c r="C744" s="12"/>
    </row>
    <row r="745" spans="3:3" x14ac:dyDescent="0.75">
      <c r="C745" s="12"/>
    </row>
    <row r="746" spans="3:3" x14ac:dyDescent="0.75">
      <c r="C746" s="12"/>
    </row>
    <row r="747" spans="3:3" x14ac:dyDescent="0.75">
      <c r="C747" s="12"/>
    </row>
    <row r="748" spans="3:3" x14ac:dyDescent="0.75">
      <c r="C748" s="12"/>
    </row>
    <row r="749" spans="3:3" x14ac:dyDescent="0.75">
      <c r="C749" s="12"/>
    </row>
    <row r="750" spans="3:3" x14ac:dyDescent="0.75">
      <c r="C750" s="12"/>
    </row>
    <row r="751" spans="3:3" x14ac:dyDescent="0.75">
      <c r="C751" s="12"/>
    </row>
    <row r="752" spans="3:3" x14ac:dyDescent="0.75">
      <c r="C752" s="12"/>
    </row>
    <row r="753" spans="3:3" x14ac:dyDescent="0.75">
      <c r="C753" s="12"/>
    </row>
    <row r="754" spans="3:3" x14ac:dyDescent="0.75">
      <c r="C754" s="12"/>
    </row>
    <row r="755" spans="3:3" x14ac:dyDescent="0.75">
      <c r="C755" s="12"/>
    </row>
    <row r="756" spans="3:3" x14ac:dyDescent="0.75">
      <c r="C756" s="12"/>
    </row>
    <row r="757" spans="3:3" x14ac:dyDescent="0.75">
      <c r="C757" s="12"/>
    </row>
    <row r="758" spans="3:3" x14ac:dyDescent="0.75">
      <c r="C758" s="12"/>
    </row>
    <row r="759" spans="3:3" x14ac:dyDescent="0.75">
      <c r="C759" s="12"/>
    </row>
    <row r="760" spans="3:3" x14ac:dyDescent="0.75">
      <c r="C760" s="12"/>
    </row>
    <row r="761" spans="3:3" x14ac:dyDescent="0.75">
      <c r="C761" s="12"/>
    </row>
    <row r="762" spans="3:3" x14ac:dyDescent="0.75">
      <c r="C762" s="12"/>
    </row>
    <row r="763" spans="3:3" x14ac:dyDescent="0.75">
      <c r="C763" s="12"/>
    </row>
    <row r="764" spans="3:3" x14ac:dyDescent="0.75">
      <c r="C764" s="12"/>
    </row>
    <row r="765" spans="3:3" x14ac:dyDescent="0.75">
      <c r="C765" s="12"/>
    </row>
    <row r="766" spans="3:3" x14ac:dyDescent="0.75">
      <c r="C766" s="12"/>
    </row>
    <row r="767" spans="3:3" x14ac:dyDescent="0.75">
      <c r="C767" s="12"/>
    </row>
    <row r="768" spans="3:3" x14ac:dyDescent="0.75">
      <c r="C768" s="12"/>
    </row>
    <row r="769" spans="3:3" x14ac:dyDescent="0.75">
      <c r="C769" s="12"/>
    </row>
    <row r="770" spans="3:3" x14ac:dyDescent="0.75">
      <c r="C770" s="12"/>
    </row>
    <row r="771" spans="3:3" x14ac:dyDescent="0.75">
      <c r="C771" s="12"/>
    </row>
    <row r="772" spans="3:3" x14ac:dyDescent="0.75">
      <c r="C772" s="12"/>
    </row>
    <row r="773" spans="3:3" x14ac:dyDescent="0.75">
      <c r="C773" s="12"/>
    </row>
    <row r="774" spans="3:3" x14ac:dyDescent="0.75">
      <c r="C774" s="12"/>
    </row>
    <row r="775" spans="3:3" x14ac:dyDescent="0.75">
      <c r="C775" s="12"/>
    </row>
    <row r="776" spans="3:3" x14ac:dyDescent="0.75">
      <c r="C776" s="12"/>
    </row>
    <row r="777" spans="3:3" x14ac:dyDescent="0.75">
      <c r="C777" s="12"/>
    </row>
    <row r="778" spans="3:3" x14ac:dyDescent="0.75">
      <c r="C778" s="12"/>
    </row>
    <row r="779" spans="3:3" x14ac:dyDescent="0.75">
      <c r="C779" s="12"/>
    </row>
    <row r="780" spans="3:3" x14ac:dyDescent="0.75">
      <c r="C780" s="12"/>
    </row>
    <row r="781" spans="3:3" x14ac:dyDescent="0.75">
      <c r="C781" s="12"/>
    </row>
    <row r="782" spans="3:3" x14ac:dyDescent="0.75">
      <c r="C782" s="12"/>
    </row>
    <row r="783" spans="3:3" x14ac:dyDescent="0.75">
      <c r="C783" s="12"/>
    </row>
    <row r="784" spans="3:3" x14ac:dyDescent="0.75">
      <c r="C784" s="12"/>
    </row>
    <row r="785" spans="3:3" x14ac:dyDescent="0.75">
      <c r="C785" s="12"/>
    </row>
    <row r="786" spans="3:3" x14ac:dyDescent="0.75">
      <c r="C786" s="12"/>
    </row>
    <row r="787" spans="3:3" x14ac:dyDescent="0.75">
      <c r="C787" s="12"/>
    </row>
    <row r="788" spans="3:3" x14ac:dyDescent="0.75">
      <c r="C788" s="12"/>
    </row>
    <row r="789" spans="3:3" x14ac:dyDescent="0.75">
      <c r="C789" s="12"/>
    </row>
    <row r="790" spans="3:3" x14ac:dyDescent="0.75">
      <c r="C790" s="12"/>
    </row>
    <row r="791" spans="3:3" x14ac:dyDescent="0.75">
      <c r="C791" s="12"/>
    </row>
    <row r="792" spans="3:3" x14ac:dyDescent="0.75">
      <c r="C792" s="12"/>
    </row>
    <row r="793" spans="3:3" x14ac:dyDescent="0.75">
      <c r="C793" s="12"/>
    </row>
    <row r="794" spans="3:3" x14ac:dyDescent="0.75">
      <c r="C794" s="12"/>
    </row>
    <row r="795" spans="3:3" x14ac:dyDescent="0.75">
      <c r="C795" s="12"/>
    </row>
    <row r="796" spans="3:3" x14ac:dyDescent="0.75">
      <c r="C796" s="12"/>
    </row>
    <row r="797" spans="3:3" x14ac:dyDescent="0.75">
      <c r="C797" s="12"/>
    </row>
    <row r="798" spans="3:3" x14ac:dyDescent="0.75">
      <c r="C798" s="12"/>
    </row>
    <row r="799" spans="3:3" x14ac:dyDescent="0.75">
      <c r="C799" s="12"/>
    </row>
    <row r="800" spans="3:3" x14ac:dyDescent="0.75">
      <c r="C800" s="12"/>
    </row>
    <row r="801" spans="3:3" x14ac:dyDescent="0.75">
      <c r="C801" s="12"/>
    </row>
    <row r="802" spans="3:3" x14ac:dyDescent="0.75">
      <c r="C802" s="12"/>
    </row>
    <row r="803" spans="3:3" x14ac:dyDescent="0.75">
      <c r="C803" s="12"/>
    </row>
    <row r="804" spans="3:3" x14ac:dyDescent="0.75">
      <c r="C804" s="12"/>
    </row>
    <row r="805" spans="3:3" x14ac:dyDescent="0.75">
      <c r="C805" s="12"/>
    </row>
    <row r="806" spans="3:3" x14ac:dyDescent="0.75">
      <c r="C806" s="12"/>
    </row>
    <row r="807" spans="3:3" x14ac:dyDescent="0.75">
      <c r="C807" s="12"/>
    </row>
    <row r="808" spans="3:3" x14ac:dyDescent="0.75">
      <c r="C808" s="12"/>
    </row>
    <row r="809" spans="3:3" x14ac:dyDescent="0.75">
      <c r="C809" s="12"/>
    </row>
    <row r="810" spans="3:3" x14ac:dyDescent="0.75">
      <c r="C810" s="12"/>
    </row>
    <row r="811" spans="3:3" x14ac:dyDescent="0.75">
      <c r="C811" s="12"/>
    </row>
    <row r="812" spans="3:3" x14ac:dyDescent="0.75">
      <c r="C812" s="12"/>
    </row>
    <row r="813" spans="3:3" x14ac:dyDescent="0.75">
      <c r="C813" s="12"/>
    </row>
    <row r="814" spans="3:3" x14ac:dyDescent="0.75">
      <c r="C814" s="12"/>
    </row>
    <row r="815" spans="3:3" x14ac:dyDescent="0.75">
      <c r="C815" s="12"/>
    </row>
    <row r="816" spans="3:3" x14ac:dyDescent="0.75">
      <c r="C816" s="12"/>
    </row>
    <row r="817" spans="3:3" x14ac:dyDescent="0.75">
      <c r="C817" s="12"/>
    </row>
    <row r="818" spans="3:3" x14ac:dyDescent="0.75">
      <c r="C818" s="12"/>
    </row>
    <row r="819" spans="3:3" x14ac:dyDescent="0.75">
      <c r="C819" s="12"/>
    </row>
    <row r="820" spans="3:3" x14ac:dyDescent="0.75">
      <c r="C820" s="12"/>
    </row>
    <row r="821" spans="3:3" x14ac:dyDescent="0.75">
      <c r="C821" s="12"/>
    </row>
    <row r="822" spans="3:3" x14ac:dyDescent="0.75">
      <c r="C822" s="12"/>
    </row>
    <row r="823" spans="3:3" x14ac:dyDescent="0.75">
      <c r="C823" s="12"/>
    </row>
    <row r="824" spans="3:3" x14ac:dyDescent="0.75">
      <c r="C824" s="12"/>
    </row>
    <row r="825" spans="3:3" x14ac:dyDescent="0.75">
      <c r="C825" s="12"/>
    </row>
    <row r="826" spans="3:3" x14ac:dyDescent="0.75">
      <c r="C826" s="12"/>
    </row>
    <row r="827" spans="3:3" x14ac:dyDescent="0.75">
      <c r="C827" s="12"/>
    </row>
    <row r="828" spans="3:3" x14ac:dyDescent="0.75">
      <c r="C828" s="12"/>
    </row>
    <row r="829" spans="3:3" x14ac:dyDescent="0.75">
      <c r="C829" s="12"/>
    </row>
    <row r="830" spans="3:3" x14ac:dyDescent="0.75">
      <c r="C830" s="12"/>
    </row>
    <row r="831" spans="3:3" x14ac:dyDescent="0.75">
      <c r="C831" s="12"/>
    </row>
    <row r="832" spans="3:3" x14ac:dyDescent="0.75">
      <c r="C832" s="12"/>
    </row>
    <row r="833" spans="3:3" x14ac:dyDescent="0.75">
      <c r="C833" s="12"/>
    </row>
    <row r="834" spans="3:3" x14ac:dyDescent="0.75">
      <c r="C834" s="12"/>
    </row>
    <row r="835" spans="3:3" x14ac:dyDescent="0.75">
      <c r="C835" s="12"/>
    </row>
    <row r="836" spans="3:3" x14ac:dyDescent="0.75">
      <c r="C836" s="12"/>
    </row>
    <row r="837" spans="3:3" x14ac:dyDescent="0.75">
      <c r="C837" s="12"/>
    </row>
    <row r="838" spans="3:3" x14ac:dyDescent="0.75">
      <c r="C838" s="12"/>
    </row>
    <row r="839" spans="3:3" x14ac:dyDescent="0.75">
      <c r="C839" s="12"/>
    </row>
    <row r="840" spans="3:3" x14ac:dyDescent="0.75">
      <c r="C840" s="12"/>
    </row>
    <row r="841" spans="3:3" x14ac:dyDescent="0.75">
      <c r="C841" s="12"/>
    </row>
    <row r="842" spans="3:3" x14ac:dyDescent="0.75">
      <c r="C842" s="12"/>
    </row>
    <row r="843" spans="3:3" x14ac:dyDescent="0.75">
      <c r="C843" s="12"/>
    </row>
    <row r="844" spans="3:3" x14ac:dyDescent="0.75">
      <c r="C844" s="12"/>
    </row>
    <row r="845" spans="3:3" x14ac:dyDescent="0.75">
      <c r="C845" s="12"/>
    </row>
    <row r="846" spans="3:3" x14ac:dyDescent="0.75">
      <c r="C846" s="12"/>
    </row>
    <row r="847" spans="3:3" x14ac:dyDescent="0.75">
      <c r="C847" s="12"/>
    </row>
    <row r="848" spans="3:3" x14ac:dyDescent="0.75">
      <c r="C848" s="12"/>
    </row>
    <row r="849" spans="3:3" x14ac:dyDescent="0.75">
      <c r="C849" s="12"/>
    </row>
    <row r="850" spans="3:3" x14ac:dyDescent="0.75">
      <c r="C850" s="12"/>
    </row>
    <row r="851" spans="3:3" x14ac:dyDescent="0.75">
      <c r="C851" s="12"/>
    </row>
    <row r="852" spans="3:3" x14ac:dyDescent="0.75">
      <c r="C852" s="12"/>
    </row>
    <row r="853" spans="3:3" x14ac:dyDescent="0.75">
      <c r="C853" s="12"/>
    </row>
    <row r="854" spans="3:3" x14ac:dyDescent="0.75">
      <c r="C854" s="12"/>
    </row>
    <row r="855" spans="3:3" x14ac:dyDescent="0.75">
      <c r="C855" s="12"/>
    </row>
    <row r="856" spans="3:3" x14ac:dyDescent="0.75">
      <c r="C856" s="12"/>
    </row>
    <row r="857" spans="3:3" x14ac:dyDescent="0.75">
      <c r="C857" s="12"/>
    </row>
    <row r="858" spans="3:3" x14ac:dyDescent="0.75">
      <c r="C858" s="12"/>
    </row>
    <row r="859" spans="3:3" x14ac:dyDescent="0.75">
      <c r="C859" s="12"/>
    </row>
    <row r="860" spans="3:3" x14ac:dyDescent="0.75">
      <c r="C860" s="12"/>
    </row>
    <row r="861" spans="3:3" x14ac:dyDescent="0.75">
      <c r="C861" s="12"/>
    </row>
    <row r="862" spans="3:3" x14ac:dyDescent="0.75">
      <c r="C862" s="12"/>
    </row>
    <row r="863" spans="3:3" x14ac:dyDescent="0.75">
      <c r="C863" s="12"/>
    </row>
    <row r="864" spans="3:3" x14ac:dyDescent="0.75">
      <c r="C864" s="12"/>
    </row>
    <row r="865" spans="3:3" x14ac:dyDescent="0.75">
      <c r="C865" s="12"/>
    </row>
    <row r="866" spans="3:3" x14ac:dyDescent="0.75">
      <c r="C866" s="12"/>
    </row>
    <row r="867" spans="3:3" x14ac:dyDescent="0.75">
      <c r="C867" s="12"/>
    </row>
    <row r="868" spans="3:3" x14ac:dyDescent="0.75">
      <c r="C868" s="12"/>
    </row>
    <row r="869" spans="3:3" x14ac:dyDescent="0.75">
      <c r="C869" s="12"/>
    </row>
    <row r="870" spans="3:3" x14ac:dyDescent="0.75">
      <c r="C870" s="12"/>
    </row>
    <row r="871" spans="3:3" x14ac:dyDescent="0.75">
      <c r="C871" s="12"/>
    </row>
    <row r="872" spans="3:3" x14ac:dyDescent="0.75">
      <c r="C872" s="12"/>
    </row>
    <row r="873" spans="3:3" x14ac:dyDescent="0.75">
      <c r="C873" s="12"/>
    </row>
    <row r="874" spans="3:3" x14ac:dyDescent="0.75">
      <c r="C874" s="12"/>
    </row>
    <row r="875" spans="3:3" x14ac:dyDescent="0.75">
      <c r="C875" s="12"/>
    </row>
    <row r="876" spans="3:3" x14ac:dyDescent="0.75">
      <c r="C876" s="12"/>
    </row>
    <row r="877" spans="3:3" x14ac:dyDescent="0.75">
      <c r="C877" s="12"/>
    </row>
    <row r="878" spans="3:3" x14ac:dyDescent="0.75">
      <c r="C878" s="12"/>
    </row>
    <row r="879" spans="3:3" x14ac:dyDescent="0.75">
      <c r="C879" s="12"/>
    </row>
    <row r="880" spans="3:3" x14ac:dyDescent="0.75">
      <c r="C880" s="12"/>
    </row>
    <row r="881" spans="3:3" x14ac:dyDescent="0.75">
      <c r="C881" s="12"/>
    </row>
    <row r="882" spans="3:3" x14ac:dyDescent="0.75">
      <c r="C882" s="12"/>
    </row>
    <row r="883" spans="3:3" x14ac:dyDescent="0.75">
      <c r="C883" s="12"/>
    </row>
    <row r="884" spans="3:3" x14ac:dyDescent="0.75">
      <c r="C884" s="12"/>
    </row>
    <row r="885" spans="3:3" x14ac:dyDescent="0.75">
      <c r="C885" s="12"/>
    </row>
    <row r="886" spans="3:3" x14ac:dyDescent="0.75">
      <c r="C886" s="12"/>
    </row>
    <row r="887" spans="3:3" x14ac:dyDescent="0.75">
      <c r="C887" s="12"/>
    </row>
    <row r="888" spans="3:3" x14ac:dyDescent="0.75">
      <c r="C888" s="12"/>
    </row>
    <row r="889" spans="3:3" x14ac:dyDescent="0.75">
      <c r="C889" s="12"/>
    </row>
    <row r="890" spans="3:3" x14ac:dyDescent="0.75">
      <c r="C890" s="12"/>
    </row>
    <row r="891" spans="3:3" x14ac:dyDescent="0.75">
      <c r="C891" s="12"/>
    </row>
    <row r="892" spans="3:3" x14ac:dyDescent="0.75">
      <c r="C892" s="12"/>
    </row>
    <row r="893" spans="3:3" x14ac:dyDescent="0.75">
      <c r="C893" s="12"/>
    </row>
    <row r="894" spans="3:3" x14ac:dyDescent="0.75">
      <c r="C894" s="12"/>
    </row>
    <row r="895" spans="3:3" x14ac:dyDescent="0.75">
      <c r="C895" s="12"/>
    </row>
    <row r="896" spans="3:3" x14ac:dyDescent="0.75">
      <c r="C896" s="12"/>
    </row>
    <row r="897" spans="3:3" x14ac:dyDescent="0.75">
      <c r="C897" s="12"/>
    </row>
    <row r="898" spans="3:3" x14ac:dyDescent="0.75">
      <c r="C898" s="12"/>
    </row>
    <row r="899" spans="3:3" x14ac:dyDescent="0.75">
      <c r="C899" s="12"/>
    </row>
    <row r="900" spans="3:3" x14ac:dyDescent="0.75">
      <c r="C900" s="12"/>
    </row>
    <row r="901" spans="3:3" x14ac:dyDescent="0.75">
      <c r="C901" s="12"/>
    </row>
    <row r="902" spans="3:3" x14ac:dyDescent="0.75">
      <c r="C902" s="12"/>
    </row>
    <row r="903" spans="3:3" x14ac:dyDescent="0.75">
      <c r="C903" s="12"/>
    </row>
    <row r="904" spans="3:3" x14ac:dyDescent="0.75">
      <c r="C904" s="12"/>
    </row>
    <row r="905" spans="3:3" x14ac:dyDescent="0.75">
      <c r="C905" s="12"/>
    </row>
    <row r="906" spans="3:3" x14ac:dyDescent="0.75">
      <c r="C906" s="12"/>
    </row>
    <row r="907" spans="3:3" x14ac:dyDescent="0.75">
      <c r="C907" s="12"/>
    </row>
    <row r="908" spans="3:3" x14ac:dyDescent="0.75">
      <c r="C908" s="12"/>
    </row>
    <row r="909" spans="3:3" x14ac:dyDescent="0.75">
      <c r="C909" s="12"/>
    </row>
    <row r="910" spans="3:3" x14ac:dyDescent="0.75">
      <c r="C910" s="12"/>
    </row>
    <row r="911" spans="3:3" x14ac:dyDescent="0.75">
      <c r="C911" s="12"/>
    </row>
    <row r="912" spans="3:3" x14ac:dyDescent="0.75">
      <c r="C912" s="12"/>
    </row>
    <row r="913" spans="3:3" x14ac:dyDescent="0.75">
      <c r="C913" s="12"/>
    </row>
    <row r="914" spans="3:3" x14ac:dyDescent="0.75">
      <c r="C914" s="12"/>
    </row>
    <row r="915" spans="3:3" x14ac:dyDescent="0.75">
      <c r="C915" s="12"/>
    </row>
    <row r="916" spans="3:3" x14ac:dyDescent="0.75">
      <c r="C916" s="12"/>
    </row>
    <row r="917" spans="3:3" x14ac:dyDescent="0.75">
      <c r="C917" s="12"/>
    </row>
    <row r="918" spans="3:3" x14ac:dyDescent="0.75">
      <c r="C918" s="12"/>
    </row>
    <row r="919" spans="3:3" x14ac:dyDescent="0.75">
      <c r="C919" s="12"/>
    </row>
    <row r="920" spans="3:3" x14ac:dyDescent="0.75">
      <c r="C920" s="12"/>
    </row>
    <row r="921" spans="3:3" x14ac:dyDescent="0.75">
      <c r="C921" s="12"/>
    </row>
    <row r="922" spans="3:3" x14ac:dyDescent="0.75">
      <c r="C922" s="12"/>
    </row>
    <row r="923" spans="3:3" x14ac:dyDescent="0.75">
      <c r="C923" s="12"/>
    </row>
    <row r="924" spans="3:3" x14ac:dyDescent="0.75">
      <c r="C924" s="12"/>
    </row>
    <row r="925" spans="3:3" x14ac:dyDescent="0.75">
      <c r="C925" s="12"/>
    </row>
    <row r="926" spans="3:3" x14ac:dyDescent="0.75">
      <c r="C926" s="12"/>
    </row>
    <row r="927" spans="3:3" x14ac:dyDescent="0.75">
      <c r="C927" s="12"/>
    </row>
    <row r="928" spans="3:3" x14ac:dyDescent="0.75">
      <c r="C928" s="12"/>
    </row>
    <row r="929" spans="3:3" x14ac:dyDescent="0.75">
      <c r="C929" s="12"/>
    </row>
    <row r="930" spans="3:3" x14ac:dyDescent="0.75">
      <c r="C930" s="12"/>
    </row>
    <row r="931" spans="3:3" x14ac:dyDescent="0.75">
      <c r="C931" s="12"/>
    </row>
    <row r="932" spans="3:3" x14ac:dyDescent="0.75">
      <c r="C932" s="12"/>
    </row>
    <row r="933" spans="3:3" x14ac:dyDescent="0.75">
      <c r="C933" s="12"/>
    </row>
    <row r="934" spans="3:3" x14ac:dyDescent="0.75">
      <c r="C934" s="12"/>
    </row>
    <row r="935" spans="3:3" x14ac:dyDescent="0.75">
      <c r="C935" s="12"/>
    </row>
    <row r="936" spans="3:3" x14ac:dyDescent="0.75">
      <c r="C936" s="12"/>
    </row>
    <row r="937" spans="3:3" x14ac:dyDescent="0.75">
      <c r="C937" s="12"/>
    </row>
    <row r="938" spans="3:3" x14ac:dyDescent="0.75">
      <c r="C938" s="12"/>
    </row>
    <row r="939" spans="3:3" x14ac:dyDescent="0.75">
      <c r="C939" s="12"/>
    </row>
    <row r="940" spans="3:3" x14ac:dyDescent="0.75">
      <c r="C940" s="12"/>
    </row>
    <row r="941" spans="3:3" x14ac:dyDescent="0.75">
      <c r="C941" s="12"/>
    </row>
    <row r="942" spans="3:3" x14ac:dyDescent="0.75">
      <c r="C942" s="12"/>
    </row>
    <row r="943" spans="3:3" x14ac:dyDescent="0.75">
      <c r="C943" s="12"/>
    </row>
    <row r="944" spans="3:3" x14ac:dyDescent="0.75">
      <c r="C944" s="12"/>
    </row>
    <row r="945" spans="3:3" x14ac:dyDescent="0.75">
      <c r="C945" s="12"/>
    </row>
    <row r="946" spans="3:3" x14ac:dyDescent="0.75">
      <c r="C946" s="12"/>
    </row>
    <row r="947" spans="3:3" x14ac:dyDescent="0.75">
      <c r="C947" s="12"/>
    </row>
    <row r="948" spans="3:3" x14ac:dyDescent="0.75">
      <c r="C948" s="12"/>
    </row>
    <row r="949" spans="3:3" x14ac:dyDescent="0.75">
      <c r="C949" s="12"/>
    </row>
    <row r="950" spans="3:3" x14ac:dyDescent="0.75">
      <c r="C950" s="12"/>
    </row>
    <row r="951" spans="3:3" x14ac:dyDescent="0.75">
      <c r="C951" s="12"/>
    </row>
    <row r="952" spans="3:3" x14ac:dyDescent="0.75">
      <c r="C952" s="12"/>
    </row>
    <row r="953" spans="3:3" x14ac:dyDescent="0.75">
      <c r="C953" s="12"/>
    </row>
    <row r="954" spans="3:3" x14ac:dyDescent="0.75">
      <c r="C954" s="12"/>
    </row>
    <row r="955" spans="3:3" x14ac:dyDescent="0.75">
      <c r="C955" s="12"/>
    </row>
    <row r="956" spans="3:3" x14ac:dyDescent="0.75">
      <c r="C956" s="12"/>
    </row>
    <row r="957" spans="3:3" x14ac:dyDescent="0.75">
      <c r="C957" s="12"/>
    </row>
    <row r="958" spans="3:3" x14ac:dyDescent="0.75">
      <c r="C958" s="12"/>
    </row>
    <row r="959" spans="3:3" x14ac:dyDescent="0.75">
      <c r="C959" s="12"/>
    </row>
    <row r="960" spans="3:3" x14ac:dyDescent="0.75">
      <c r="C960" s="12"/>
    </row>
    <row r="961" spans="3:3" x14ac:dyDescent="0.75">
      <c r="C961" s="12"/>
    </row>
    <row r="962" spans="3:3" x14ac:dyDescent="0.75">
      <c r="C962" s="12"/>
    </row>
    <row r="963" spans="3:3" x14ac:dyDescent="0.75">
      <c r="C963" s="12"/>
    </row>
    <row r="964" spans="3:3" x14ac:dyDescent="0.75">
      <c r="C964" s="12"/>
    </row>
    <row r="965" spans="3:3" x14ac:dyDescent="0.75">
      <c r="C965" s="12"/>
    </row>
    <row r="966" spans="3:3" x14ac:dyDescent="0.75">
      <c r="C966" s="12"/>
    </row>
    <row r="967" spans="3:3" x14ac:dyDescent="0.75">
      <c r="C967" s="12"/>
    </row>
    <row r="968" spans="3:3" x14ac:dyDescent="0.75">
      <c r="C968" s="12"/>
    </row>
    <row r="969" spans="3:3" x14ac:dyDescent="0.75">
      <c r="C969" s="12"/>
    </row>
    <row r="970" spans="3:3" x14ac:dyDescent="0.75">
      <c r="C970" s="12"/>
    </row>
    <row r="971" spans="3:3" x14ac:dyDescent="0.75">
      <c r="C971" s="12"/>
    </row>
    <row r="972" spans="3:3" x14ac:dyDescent="0.75">
      <c r="C972" s="12"/>
    </row>
    <row r="973" spans="3:3" x14ac:dyDescent="0.75">
      <c r="C973" s="12"/>
    </row>
    <row r="974" spans="3:3" x14ac:dyDescent="0.75">
      <c r="C974" s="12"/>
    </row>
    <row r="975" spans="3:3" x14ac:dyDescent="0.75">
      <c r="C975" s="12"/>
    </row>
    <row r="976" spans="3:3" x14ac:dyDescent="0.75">
      <c r="C976" s="12"/>
    </row>
    <row r="977" spans="3:3" x14ac:dyDescent="0.75">
      <c r="C977" s="12"/>
    </row>
    <row r="978" spans="3:3" x14ac:dyDescent="0.75">
      <c r="C978" s="12"/>
    </row>
    <row r="979" spans="3:3" x14ac:dyDescent="0.75">
      <c r="C979" s="12"/>
    </row>
    <row r="980" spans="3:3" x14ac:dyDescent="0.75">
      <c r="C980" s="12"/>
    </row>
    <row r="981" spans="3:3" x14ac:dyDescent="0.75">
      <c r="C981" s="12"/>
    </row>
    <row r="982" spans="3:3" x14ac:dyDescent="0.75">
      <c r="C982" s="12"/>
    </row>
    <row r="983" spans="3:3" x14ac:dyDescent="0.75">
      <c r="C983" s="12"/>
    </row>
    <row r="984" spans="3:3" x14ac:dyDescent="0.75">
      <c r="C984" s="12"/>
    </row>
    <row r="985" spans="3:3" x14ac:dyDescent="0.75">
      <c r="C985" s="12"/>
    </row>
    <row r="986" spans="3:3" x14ac:dyDescent="0.75">
      <c r="C986" s="12"/>
    </row>
    <row r="987" spans="3:3" x14ac:dyDescent="0.75">
      <c r="C987" s="12"/>
    </row>
    <row r="988" spans="3:3" x14ac:dyDescent="0.75">
      <c r="C988" s="12"/>
    </row>
    <row r="989" spans="3:3" x14ac:dyDescent="0.75">
      <c r="C989" s="12"/>
    </row>
    <row r="990" spans="3:3" x14ac:dyDescent="0.75">
      <c r="C990" s="12"/>
    </row>
    <row r="991" spans="3:3" x14ac:dyDescent="0.75">
      <c r="C991" s="12"/>
    </row>
    <row r="992" spans="3:3" x14ac:dyDescent="0.75">
      <c r="C992" s="12"/>
    </row>
    <row r="993" spans="3:3" x14ac:dyDescent="0.75">
      <c r="C993" s="12"/>
    </row>
    <row r="994" spans="3:3" x14ac:dyDescent="0.75">
      <c r="C994" s="12"/>
    </row>
    <row r="995" spans="3:3" x14ac:dyDescent="0.75">
      <c r="C995" s="12"/>
    </row>
    <row r="996" spans="3:3" x14ac:dyDescent="0.75">
      <c r="C996" s="12"/>
    </row>
    <row r="997" spans="3:3" x14ac:dyDescent="0.75">
      <c r="C997" s="12"/>
    </row>
    <row r="998" spans="3:3" x14ac:dyDescent="0.75">
      <c r="C998" s="12"/>
    </row>
    <row r="999" spans="3:3" x14ac:dyDescent="0.75">
      <c r="C999" s="12"/>
    </row>
    <row r="1000" spans="3:3" x14ac:dyDescent="0.75">
      <c r="C1000" s="12"/>
    </row>
    <row r="1001" spans="3:3" x14ac:dyDescent="0.75">
      <c r="C1001" s="12"/>
    </row>
    <row r="1002" spans="3:3" x14ac:dyDescent="0.75">
      <c r="C1002" s="12"/>
    </row>
    <row r="1003" spans="3:3" x14ac:dyDescent="0.75">
      <c r="C1003" s="12"/>
    </row>
    <row r="1004" spans="3:3" x14ac:dyDescent="0.75">
      <c r="C1004" s="12"/>
    </row>
    <row r="1005" spans="3:3" x14ac:dyDescent="0.75">
      <c r="C1005" s="12"/>
    </row>
    <row r="1006" spans="3:3" x14ac:dyDescent="0.75">
      <c r="C1006" s="12"/>
    </row>
    <row r="1007" spans="3:3" x14ac:dyDescent="0.75">
      <c r="C1007" s="12"/>
    </row>
    <row r="1008" spans="3:3" x14ac:dyDescent="0.75">
      <c r="C1008" s="12"/>
    </row>
    <row r="1009" spans="3:3" x14ac:dyDescent="0.75">
      <c r="C1009" s="12"/>
    </row>
    <row r="1010" spans="3:3" x14ac:dyDescent="0.75">
      <c r="C1010" s="12"/>
    </row>
    <row r="1011" spans="3:3" x14ac:dyDescent="0.75">
      <c r="C1011" s="12"/>
    </row>
    <row r="1012" spans="3:3" x14ac:dyDescent="0.75">
      <c r="C1012" s="12"/>
    </row>
    <row r="1013" spans="3:3" x14ac:dyDescent="0.75">
      <c r="C1013" s="12"/>
    </row>
    <row r="1014" spans="3:3" x14ac:dyDescent="0.75">
      <c r="C1014" s="12"/>
    </row>
    <row r="1015" spans="3:3" x14ac:dyDescent="0.75">
      <c r="C1015" s="12"/>
    </row>
    <row r="1016" spans="3:3" x14ac:dyDescent="0.75">
      <c r="C1016" s="12"/>
    </row>
    <row r="1017" spans="3:3" x14ac:dyDescent="0.75">
      <c r="C1017" s="12"/>
    </row>
    <row r="1018" spans="3:3" x14ac:dyDescent="0.75">
      <c r="C1018" s="12"/>
    </row>
    <row r="1019" spans="3:3" x14ac:dyDescent="0.75">
      <c r="C1019" s="12"/>
    </row>
    <row r="1020" spans="3:3" x14ac:dyDescent="0.75">
      <c r="C1020" s="12"/>
    </row>
    <row r="1021" spans="3:3" x14ac:dyDescent="0.75">
      <c r="C1021" s="12"/>
    </row>
    <row r="1022" spans="3:3" x14ac:dyDescent="0.75">
      <c r="C1022" s="12"/>
    </row>
    <row r="1023" spans="3:3" x14ac:dyDescent="0.75">
      <c r="C1023" s="12"/>
    </row>
    <row r="1024" spans="3:3" x14ac:dyDescent="0.75">
      <c r="C1024" s="12"/>
    </row>
    <row r="1025" spans="3:3" x14ac:dyDescent="0.75">
      <c r="C1025" s="12"/>
    </row>
    <row r="1026" spans="3:3" x14ac:dyDescent="0.75">
      <c r="C1026" s="12"/>
    </row>
    <row r="1027" spans="3:3" x14ac:dyDescent="0.75">
      <c r="C1027" s="12"/>
    </row>
    <row r="1028" spans="3:3" x14ac:dyDescent="0.75">
      <c r="C1028" s="12"/>
    </row>
    <row r="1029" spans="3:3" x14ac:dyDescent="0.75">
      <c r="C1029" s="12"/>
    </row>
    <row r="1030" spans="3:3" x14ac:dyDescent="0.75">
      <c r="C1030" s="12"/>
    </row>
    <row r="1031" spans="3:3" x14ac:dyDescent="0.75">
      <c r="C1031" s="12"/>
    </row>
    <row r="1032" spans="3:3" x14ac:dyDescent="0.75">
      <c r="C1032" s="12"/>
    </row>
    <row r="1033" spans="3:3" x14ac:dyDescent="0.75">
      <c r="C1033" s="12"/>
    </row>
    <row r="1034" spans="3:3" x14ac:dyDescent="0.75">
      <c r="C1034" s="12"/>
    </row>
    <row r="1035" spans="3:3" x14ac:dyDescent="0.75">
      <c r="C1035" s="12"/>
    </row>
    <row r="1036" spans="3:3" x14ac:dyDescent="0.75">
      <c r="C1036" s="12"/>
    </row>
    <row r="1037" spans="3:3" x14ac:dyDescent="0.75">
      <c r="C1037" s="12"/>
    </row>
    <row r="1038" spans="3:3" x14ac:dyDescent="0.75">
      <c r="C1038" s="12"/>
    </row>
    <row r="1039" spans="3:3" x14ac:dyDescent="0.75">
      <c r="C1039" s="12"/>
    </row>
    <row r="1040" spans="3:3" x14ac:dyDescent="0.75">
      <c r="C1040" s="12"/>
    </row>
    <row r="1041" spans="3:3" x14ac:dyDescent="0.75">
      <c r="C1041" s="12"/>
    </row>
    <row r="1042" spans="3:3" x14ac:dyDescent="0.75">
      <c r="C1042" s="12"/>
    </row>
    <row r="1043" spans="3:3" x14ac:dyDescent="0.75">
      <c r="C1043" s="12"/>
    </row>
    <row r="1044" spans="3:3" x14ac:dyDescent="0.75">
      <c r="C1044" s="12"/>
    </row>
    <row r="1045" spans="3:3" x14ac:dyDescent="0.75">
      <c r="C1045" s="12"/>
    </row>
    <row r="1046" spans="3:3" x14ac:dyDescent="0.75">
      <c r="C1046" s="12"/>
    </row>
    <row r="1047" spans="3:3" x14ac:dyDescent="0.75">
      <c r="C1047" s="12"/>
    </row>
    <row r="1048" spans="3:3" x14ac:dyDescent="0.75">
      <c r="C1048" s="12"/>
    </row>
    <row r="1049" spans="3:3" x14ac:dyDescent="0.75">
      <c r="C1049" s="12"/>
    </row>
    <row r="1050" spans="3:3" x14ac:dyDescent="0.75">
      <c r="C1050" s="12"/>
    </row>
    <row r="1051" spans="3:3" x14ac:dyDescent="0.75">
      <c r="C1051" s="12"/>
    </row>
    <row r="1052" spans="3:3" x14ac:dyDescent="0.75">
      <c r="C1052" s="12"/>
    </row>
    <row r="1053" spans="3:3" x14ac:dyDescent="0.75">
      <c r="C1053" s="12"/>
    </row>
    <row r="1054" spans="3:3" x14ac:dyDescent="0.75">
      <c r="C1054" s="12"/>
    </row>
    <row r="1055" spans="3:3" x14ac:dyDescent="0.75">
      <c r="C1055" s="12"/>
    </row>
    <row r="1056" spans="3:3" x14ac:dyDescent="0.75">
      <c r="C1056" s="12"/>
    </row>
    <row r="1057" spans="3:3" x14ac:dyDescent="0.75">
      <c r="C1057" s="12"/>
    </row>
    <row r="1058" spans="3:3" x14ac:dyDescent="0.75">
      <c r="C1058" s="12"/>
    </row>
    <row r="1059" spans="3:3" x14ac:dyDescent="0.75">
      <c r="C1059" s="12"/>
    </row>
    <row r="1060" spans="3:3" x14ac:dyDescent="0.75">
      <c r="C1060" s="12"/>
    </row>
    <row r="1061" spans="3:3" x14ac:dyDescent="0.75">
      <c r="C1061" s="12"/>
    </row>
    <row r="1062" spans="3:3" x14ac:dyDescent="0.75">
      <c r="C1062" s="12"/>
    </row>
    <row r="1063" spans="3:3" x14ac:dyDescent="0.75">
      <c r="C1063" s="12"/>
    </row>
    <row r="1064" spans="3:3" x14ac:dyDescent="0.75">
      <c r="C1064" s="12"/>
    </row>
    <row r="1065" spans="3:3" x14ac:dyDescent="0.75">
      <c r="C1065" s="12"/>
    </row>
    <row r="1066" spans="3:3" x14ac:dyDescent="0.75">
      <c r="C1066" s="12"/>
    </row>
    <row r="1067" spans="3:3" x14ac:dyDescent="0.75">
      <c r="C1067" s="12"/>
    </row>
    <row r="1068" spans="3:3" x14ac:dyDescent="0.75">
      <c r="C1068" s="12"/>
    </row>
    <row r="1069" spans="3:3" x14ac:dyDescent="0.75">
      <c r="C1069" s="12"/>
    </row>
    <row r="1070" spans="3:3" x14ac:dyDescent="0.75">
      <c r="C1070" s="12"/>
    </row>
    <row r="1071" spans="3:3" x14ac:dyDescent="0.75">
      <c r="C1071" s="12"/>
    </row>
    <row r="1072" spans="3:3" x14ac:dyDescent="0.75">
      <c r="C1072" s="12"/>
    </row>
    <row r="1073" spans="3:3" x14ac:dyDescent="0.75">
      <c r="C1073" s="12"/>
    </row>
    <row r="1074" spans="3:3" x14ac:dyDescent="0.75">
      <c r="C1074" s="12"/>
    </row>
    <row r="1075" spans="3:3" x14ac:dyDescent="0.75">
      <c r="C1075" s="12"/>
    </row>
    <row r="1076" spans="3:3" x14ac:dyDescent="0.75">
      <c r="C1076" s="12"/>
    </row>
    <row r="1077" spans="3:3" x14ac:dyDescent="0.75">
      <c r="C1077" s="12"/>
    </row>
    <row r="1078" spans="3:3" x14ac:dyDescent="0.75">
      <c r="C1078" s="12"/>
    </row>
    <row r="1079" spans="3:3" x14ac:dyDescent="0.75">
      <c r="C1079" s="12"/>
    </row>
    <row r="1080" spans="3:3" x14ac:dyDescent="0.75">
      <c r="C1080" s="12"/>
    </row>
    <row r="1081" spans="3:3" x14ac:dyDescent="0.75">
      <c r="C1081" s="12"/>
    </row>
    <row r="1082" spans="3:3" x14ac:dyDescent="0.75">
      <c r="C1082" s="12"/>
    </row>
    <row r="1083" spans="3:3" x14ac:dyDescent="0.75">
      <c r="C1083" s="12"/>
    </row>
    <row r="1084" spans="3:3" x14ac:dyDescent="0.75">
      <c r="C1084" s="12"/>
    </row>
    <row r="1085" spans="3:3" x14ac:dyDescent="0.75">
      <c r="C1085" s="12"/>
    </row>
    <row r="1086" spans="3:3" x14ac:dyDescent="0.75">
      <c r="C1086" s="12"/>
    </row>
    <row r="1087" spans="3:3" x14ac:dyDescent="0.75">
      <c r="C1087" s="12"/>
    </row>
    <row r="1088" spans="3:3" x14ac:dyDescent="0.75">
      <c r="C1088" s="12"/>
    </row>
    <row r="1089" spans="3:3" x14ac:dyDescent="0.75">
      <c r="C1089" s="12"/>
    </row>
    <row r="1090" spans="3:3" x14ac:dyDescent="0.75">
      <c r="C1090" s="12"/>
    </row>
    <row r="1091" spans="3:3" x14ac:dyDescent="0.75">
      <c r="C1091" s="12"/>
    </row>
    <row r="1092" spans="3:3" x14ac:dyDescent="0.75">
      <c r="C1092" s="12"/>
    </row>
    <row r="1093" spans="3:3" x14ac:dyDescent="0.75">
      <c r="C1093" s="12"/>
    </row>
    <row r="1094" spans="3:3" x14ac:dyDescent="0.75">
      <c r="C1094" s="12"/>
    </row>
    <row r="1095" spans="3:3" x14ac:dyDescent="0.75">
      <c r="C1095" s="12"/>
    </row>
    <row r="1096" spans="3:3" x14ac:dyDescent="0.75">
      <c r="C1096" s="12"/>
    </row>
    <row r="1097" spans="3:3" x14ac:dyDescent="0.75">
      <c r="C1097" s="12"/>
    </row>
    <row r="1098" spans="3:3" x14ac:dyDescent="0.75">
      <c r="C1098" s="12"/>
    </row>
    <row r="1099" spans="3:3" x14ac:dyDescent="0.75">
      <c r="C1099" s="12"/>
    </row>
    <row r="1100" spans="3:3" x14ac:dyDescent="0.75">
      <c r="C1100" s="12"/>
    </row>
    <row r="1101" spans="3:3" x14ac:dyDescent="0.75">
      <c r="C1101" s="12"/>
    </row>
    <row r="1102" spans="3:3" x14ac:dyDescent="0.75">
      <c r="C1102" s="12"/>
    </row>
    <row r="1103" spans="3:3" x14ac:dyDescent="0.75">
      <c r="C1103" s="12"/>
    </row>
    <row r="1104" spans="3:3" x14ac:dyDescent="0.75">
      <c r="C1104" s="12"/>
    </row>
    <row r="1105" spans="3:3" x14ac:dyDescent="0.75">
      <c r="C1105" s="12"/>
    </row>
    <row r="1106" spans="3:3" x14ac:dyDescent="0.75">
      <c r="C1106" s="12"/>
    </row>
    <row r="1107" spans="3:3" x14ac:dyDescent="0.75">
      <c r="C1107" s="12"/>
    </row>
    <row r="1108" spans="3:3" x14ac:dyDescent="0.75">
      <c r="C1108" s="12"/>
    </row>
    <row r="1109" spans="3:3" x14ac:dyDescent="0.75">
      <c r="C1109" s="12"/>
    </row>
    <row r="1110" spans="3:3" x14ac:dyDescent="0.75">
      <c r="C1110" s="12"/>
    </row>
    <row r="1111" spans="3:3" x14ac:dyDescent="0.75">
      <c r="C1111" s="12"/>
    </row>
    <row r="1112" spans="3:3" x14ac:dyDescent="0.75">
      <c r="C1112" s="12"/>
    </row>
    <row r="1113" spans="3:3" x14ac:dyDescent="0.75">
      <c r="C1113" s="12"/>
    </row>
    <row r="1114" spans="3:3" x14ac:dyDescent="0.75">
      <c r="C1114" s="12"/>
    </row>
    <row r="1115" spans="3:3" x14ac:dyDescent="0.75">
      <c r="C1115" s="12"/>
    </row>
    <row r="1116" spans="3:3" x14ac:dyDescent="0.75">
      <c r="C1116" s="12"/>
    </row>
    <row r="1117" spans="3:3" x14ac:dyDescent="0.75">
      <c r="C1117" s="12"/>
    </row>
    <row r="1118" spans="3:3" x14ac:dyDescent="0.75">
      <c r="C1118" s="12"/>
    </row>
    <row r="1119" spans="3:3" x14ac:dyDescent="0.75">
      <c r="C1119" s="12"/>
    </row>
    <row r="1120" spans="3:3" x14ac:dyDescent="0.75">
      <c r="C1120" s="12"/>
    </row>
    <row r="1121" spans="3:3" x14ac:dyDescent="0.75">
      <c r="C1121" s="12"/>
    </row>
    <row r="1122" spans="3:3" x14ac:dyDescent="0.75">
      <c r="C1122" s="12"/>
    </row>
    <row r="1123" spans="3:3" x14ac:dyDescent="0.75">
      <c r="C1123" s="12"/>
    </row>
    <row r="1124" spans="3:3" x14ac:dyDescent="0.75">
      <c r="C1124" s="12"/>
    </row>
    <row r="1125" spans="3:3" x14ac:dyDescent="0.75">
      <c r="C1125" s="12"/>
    </row>
    <row r="1126" spans="3:3" x14ac:dyDescent="0.75">
      <c r="C1126" s="12"/>
    </row>
    <row r="1127" spans="3:3" x14ac:dyDescent="0.75">
      <c r="C1127" s="12"/>
    </row>
    <row r="1128" spans="3:3" x14ac:dyDescent="0.75">
      <c r="C1128" s="12"/>
    </row>
    <row r="1129" spans="3:3" x14ac:dyDescent="0.75">
      <c r="C1129" s="12"/>
    </row>
    <row r="1130" spans="3:3" x14ac:dyDescent="0.75">
      <c r="C1130" s="12"/>
    </row>
    <row r="1131" spans="3:3" x14ac:dyDescent="0.75">
      <c r="C1131" s="12"/>
    </row>
    <row r="1132" spans="3:3" x14ac:dyDescent="0.75">
      <c r="C1132" s="12"/>
    </row>
    <row r="1133" spans="3:3" x14ac:dyDescent="0.75">
      <c r="C1133" s="12"/>
    </row>
    <row r="1134" spans="3:3" x14ac:dyDescent="0.75">
      <c r="C1134" s="12"/>
    </row>
    <row r="1135" spans="3:3" x14ac:dyDescent="0.75">
      <c r="C1135" s="12"/>
    </row>
    <row r="1136" spans="3:3" x14ac:dyDescent="0.75">
      <c r="C1136" s="12"/>
    </row>
    <row r="1137" spans="3:3" x14ac:dyDescent="0.75">
      <c r="C1137" s="12"/>
    </row>
    <row r="1138" spans="3:3" x14ac:dyDescent="0.75">
      <c r="C1138" s="12"/>
    </row>
    <row r="1139" spans="3:3" x14ac:dyDescent="0.75">
      <c r="C1139" s="12"/>
    </row>
    <row r="1140" spans="3:3" x14ac:dyDescent="0.75">
      <c r="C1140" s="12"/>
    </row>
    <row r="1141" spans="3:3" x14ac:dyDescent="0.75">
      <c r="C1141" s="12"/>
    </row>
    <row r="1142" spans="3:3" x14ac:dyDescent="0.75">
      <c r="C1142" s="12"/>
    </row>
    <row r="1143" spans="3:3" x14ac:dyDescent="0.75">
      <c r="C1143" s="12"/>
    </row>
    <row r="1144" spans="3:3" x14ac:dyDescent="0.75">
      <c r="C1144" s="12"/>
    </row>
    <row r="1145" spans="3:3" x14ac:dyDescent="0.75">
      <c r="C1145" s="12"/>
    </row>
    <row r="1146" spans="3:3" x14ac:dyDescent="0.75">
      <c r="C1146" s="12"/>
    </row>
    <row r="1147" spans="3:3" x14ac:dyDescent="0.75">
      <c r="C1147" s="12"/>
    </row>
    <row r="1148" spans="3:3" x14ac:dyDescent="0.75">
      <c r="C1148" s="12"/>
    </row>
    <row r="1149" spans="3:3" x14ac:dyDescent="0.75">
      <c r="C1149" s="12"/>
    </row>
    <row r="1150" spans="3:3" x14ac:dyDescent="0.75">
      <c r="C1150" s="12"/>
    </row>
    <row r="1151" spans="3:3" x14ac:dyDescent="0.75">
      <c r="C1151" s="12"/>
    </row>
    <row r="1152" spans="3:3" x14ac:dyDescent="0.75">
      <c r="C1152" s="12"/>
    </row>
    <row r="1153" spans="3:3" x14ac:dyDescent="0.75">
      <c r="C1153" s="12"/>
    </row>
    <row r="1154" spans="3:3" x14ac:dyDescent="0.75">
      <c r="C1154" s="12"/>
    </row>
    <row r="1155" spans="3:3" x14ac:dyDescent="0.75">
      <c r="C1155" s="12"/>
    </row>
    <row r="1156" spans="3:3" x14ac:dyDescent="0.75">
      <c r="C1156" s="12"/>
    </row>
    <row r="1157" spans="3:3" x14ac:dyDescent="0.75">
      <c r="C1157" s="12"/>
    </row>
    <row r="1158" spans="3:3" x14ac:dyDescent="0.75">
      <c r="C1158" s="12"/>
    </row>
    <row r="1159" spans="3:3" x14ac:dyDescent="0.75">
      <c r="C1159" s="12"/>
    </row>
    <row r="1160" spans="3:3" x14ac:dyDescent="0.75">
      <c r="C1160" s="12"/>
    </row>
    <row r="1161" spans="3:3" x14ac:dyDescent="0.75">
      <c r="C1161" s="12"/>
    </row>
    <row r="1162" spans="3:3" x14ac:dyDescent="0.75">
      <c r="C1162" s="12"/>
    </row>
    <row r="1163" spans="3:3" x14ac:dyDescent="0.75">
      <c r="C1163" s="12"/>
    </row>
    <row r="1164" spans="3:3" x14ac:dyDescent="0.75">
      <c r="C1164" s="12"/>
    </row>
    <row r="1165" spans="3:3" x14ac:dyDescent="0.75">
      <c r="C1165" s="12"/>
    </row>
    <row r="1166" spans="3:3" x14ac:dyDescent="0.75">
      <c r="C1166" s="12"/>
    </row>
    <row r="1167" spans="3:3" x14ac:dyDescent="0.75">
      <c r="C1167" s="12"/>
    </row>
    <row r="1168" spans="3:3" x14ac:dyDescent="0.75">
      <c r="C1168" s="12"/>
    </row>
    <row r="1169" spans="3:3" x14ac:dyDescent="0.75">
      <c r="C1169" s="12"/>
    </row>
    <row r="1170" spans="3:3" x14ac:dyDescent="0.75">
      <c r="C1170" s="12"/>
    </row>
    <row r="1171" spans="3:3" x14ac:dyDescent="0.75">
      <c r="C1171" s="12"/>
    </row>
    <row r="1172" spans="3:3" x14ac:dyDescent="0.75">
      <c r="C1172" s="12"/>
    </row>
    <row r="1173" spans="3:3" x14ac:dyDescent="0.75">
      <c r="C1173" s="12"/>
    </row>
    <row r="1174" spans="3:3" x14ac:dyDescent="0.75">
      <c r="C1174" s="12"/>
    </row>
    <row r="1175" spans="3:3" x14ac:dyDescent="0.75">
      <c r="C1175" s="12"/>
    </row>
    <row r="1176" spans="3:3" x14ac:dyDescent="0.75">
      <c r="C1176" s="12"/>
    </row>
    <row r="1177" spans="3:3" x14ac:dyDescent="0.75">
      <c r="C1177" s="12"/>
    </row>
    <row r="1178" spans="3:3" x14ac:dyDescent="0.75">
      <c r="C1178" s="12"/>
    </row>
    <row r="1179" spans="3:3" x14ac:dyDescent="0.75">
      <c r="C1179" s="12"/>
    </row>
    <row r="1180" spans="3:3" x14ac:dyDescent="0.75">
      <c r="C1180" s="12"/>
    </row>
    <row r="1181" spans="3:3" x14ac:dyDescent="0.75">
      <c r="C1181" s="12"/>
    </row>
    <row r="1182" spans="3:3" x14ac:dyDescent="0.75">
      <c r="C1182" s="12"/>
    </row>
    <row r="1183" spans="3:3" x14ac:dyDescent="0.75">
      <c r="C1183" s="12"/>
    </row>
    <row r="1184" spans="3:3" x14ac:dyDescent="0.75">
      <c r="C1184" s="12"/>
    </row>
    <row r="1185" spans="3:3" x14ac:dyDescent="0.75">
      <c r="C1185" s="12"/>
    </row>
    <row r="1186" spans="3:3" x14ac:dyDescent="0.75">
      <c r="C1186" s="12"/>
    </row>
    <row r="1187" spans="3:3" x14ac:dyDescent="0.75">
      <c r="C1187" s="12"/>
    </row>
    <row r="1188" spans="3:3" x14ac:dyDescent="0.75">
      <c r="C1188" s="12"/>
    </row>
    <row r="1189" spans="3:3" x14ac:dyDescent="0.75">
      <c r="C1189" s="12"/>
    </row>
    <row r="1190" spans="3:3" x14ac:dyDescent="0.75">
      <c r="C1190" s="12"/>
    </row>
    <row r="1191" spans="3:3" x14ac:dyDescent="0.75">
      <c r="C1191" s="12"/>
    </row>
    <row r="1192" spans="3:3" x14ac:dyDescent="0.75">
      <c r="C1192" s="12"/>
    </row>
    <row r="1193" spans="3:3" x14ac:dyDescent="0.75">
      <c r="C1193" s="12"/>
    </row>
    <row r="1194" spans="3:3" x14ac:dyDescent="0.75">
      <c r="C1194" s="12"/>
    </row>
    <row r="1195" spans="3:3" x14ac:dyDescent="0.75">
      <c r="C1195" s="12"/>
    </row>
    <row r="1196" spans="3:3" x14ac:dyDescent="0.75">
      <c r="C1196" s="12"/>
    </row>
    <row r="1197" spans="3:3" x14ac:dyDescent="0.75">
      <c r="C1197" s="12"/>
    </row>
    <row r="1198" spans="3:3" x14ac:dyDescent="0.75">
      <c r="C1198" s="12"/>
    </row>
    <row r="1199" spans="3:3" x14ac:dyDescent="0.75">
      <c r="C1199" s="12"/>
    </row>
    <row r="1200" spans="3:3" x14ac:dyDescent="0.75">
      <c r="C1200" s="12"/>
    </row>
    <row r="1201" spans="3:3" x14ac:dyDescent="0.75">
      <c r="C1201" s="12"/>
    </row>
    <row r="1202" spans="3:3" x14ac:dyDescent="0.75">
      <c r="C1202" s="12"/>
    </row>
    <row r="1203" spans="3:3" x14ac:dyDescent="0.75">
      <c r="C1203" s="12"/>
    </row>
    <row r="1204" spans="3:3" x14ac:dyDescent="0.75">
      <c r="C1204" s="12"/>
    </row>
    <row r="1205" spans="3:3" x14ac:dyDescent="0.75">
      <c r="C1205" s="12"/>
    </row>
    <row r="1206" spans="3:3" x14ac:dyDescent="0.75">
      <c r="C1206" s="12"/>
    </row>
    <row r="1207" spans="3:3" x14ac:dyDescent="0.75">
      <c r="C1207" s="12"/>
    </row>
    <row r="1208" spans="3:3" x14ac:dyDescent="0.75">
      <c r="C1208" s="12"/>
    </row>
    <row r="1209" spans="3:3" x14ac:dyDescent="0.75">
      <c r="C1209" s="12"/>
    </row>
    <row r="1210" spans="3:3" x14ac:dyDescent="0.75">
      <c r="C1210" s="12"/>
    </row>
    <row r="1211" spans="3:3" x14ac:dyDescent="0.75">
      <c r="C1211" s="12"/>
    </row>
    <row r="1212" spans="3:3" x14ac:dyDescent="0.75">
      <c r="C1212" s="12"/>
    </row>
    <row r="1213" spans="3:3" x14ac:dyDescent="0.75">
      <c r="C1213" s="12"/>
    </row>
    <row r="1214" spans="3:3" x14ac:dyDescent="0.75">
      <c r="C1214" s="12"/>
    </row>
    <row r="1215" spans="3:3" x14ac:dyDescent="0.75">
      <c r="C1215" s="12"/>
    </row>
    <row r="1216" spans="3:3" x14ac:dyDescent="0.75">
      <c r="C1216" s="12"/>
    </row>
    <row r="1217" spans="3:3" x14ac:dyDescent="0.75">
      <c r="C1217" s="12"/>
    </row>
    <row r="1218" spans="3:3" x14ac:dyDescent="0.75">
      <c r="C1218" s="12"/>
    </row>
    <row r="1219" spans="3:3" x14ac:dyDescent="0.75">
      <c r="C1219" s="12"/>
    </row>
    <row r="1220" spans="3:3" x14ac:dyDescent="0.75">
      <c r="C1220" s="12"/>
    </row>
    <row r="1221" spans="3:3" x14ac:dyDescent="0.75">
      <c r="C1221" s="12"/>
    </row>
    <row r="1222" spans="3:3" x14ac:dyDescent="0.75">
      <c r="C1222" s="12"/>
    </row>
    <row r="1223" spans="3:3" x14ac:dyDescent="0.75">
      <c r="C1223" s="12"/>
    </row>
    <row r="1224" spans="3:3" x14ac:dyDescent="0.75">
      <c r="C1224" s="12"/>
    </row>
    <row r="1225" spans="3:3" x14ac:dyDescent="0.75">
      <c r="C1225" s="12"/>
    </row>
    <row r="1226" spans="3:3" x14ac:dyDescent="0.75">
      <c r="C1226" s="12"/>
    </row>
    <row r="1227" spans="3:3" x14ac:dyDescent="0.75">
      <c r="C1227" s="12"/>
    </row>
    <row r="1228" spans="3:3" x14ac:dyDescent="0.75">
      <c r="C1228" s="12"/>
    </row>
    <row r="1229" spans="3:3" x14ac:dyDescent="0.75">
      <c r="C1229" s="12"/>
    </row>
    <row r="1230" spans="3:3" x14ac:dyDescent="0.75">
      <c r="C1230" s="12"/>
    </row>
    <row r="1231" spans="3:3" x14ac:dyDescent="0.75">
      <c r="C1231" s="12"/>
    </row>
    <row r="1232" spans="3:3" x14ac:dyDescent="0.75">
      <c r="C1232" s="12"/>
    </row>
    <row r="1233" spans="3:3" x14ac:dyDescent="0.75">
      <c r="C1233" s="12"/>
    </row>
    <row r="1234" spans="3:3" x14ac:dyDescent="0.75">
      <c r="C1234" s="12"/>
    </row>
    <row r="1235" spans="3:3" x14ac:dyDescent="0.75">
      <c r="C1235" s="12"/>
    </row>
    <row r="1236" spans="3:3" x14ac:dyDescent="0.75">
      <c r="C1236" s="12"/>
    </row>
    <row r="1237" spans="3:3" x14ac:dyDescent="0.75">
      <c r="C1237" s="12"/>
    </row>
    <row r="1238" spans="3:3" x14ac:dyDescent="0.75">
      <c r="C1238" s="12"/>
    </row>
    <row r="1239" spans="3:3" x14ac:dyDescent="0.75">
      <c r="C1239" s="12"/>
    </row>
    <row r="1240" spans="3:3" x14ac:dyDescent="0.75">
      <c r="C1240" s="12"/>
    </row>
    <row r="1241" spans="3:3" x14ac:dyDescent="0.75">
      <c r="C1241" s="12"/>
    </row>
    <row r="1242" spans="3:3" x14ac:dyDescent="0.75">
      <c r="C1242" s="12"/>
    </row>
    <row r="1243" spans="3:3" x14ac:dyDescent="0.75">
      <c r="C1243" s="12"/>
    </row>
    <row r="1244" spans="3:3" x14ac:dyDescent="0.75">
      <c r="C1244" s="12"/>
    </row>
    <row r="1245" spans="3:3" x14ac:dyDescent="0.75">
      <c r="C1245" s="12"/>
    </row>
    <row r="1246" spans="3:3" x14ac:dyDescent="0.75">
      <c r="C1246" s="12"/>
    </row>
    <row r="1247" spans="3:3" x14ac:dyDescent="0.75">
      <c r="C1247" s="12"/>
    </row>
    <row r="1248" spans="3:3" x14ac:dyDescent="0.75">
      <c r="C1248" s="12"/>
    </row>
    <row r="1249" spans="3:3" x14ac:dyDescent="0.75">
      <c r="C1249" s="12"/>
    </row>
    <row r="1250" spans="3:3" x14ac:dyDescent="0.75">
      <c r="C1250" s="12"/>
    </row>
    <row r="1251" spans="3:3" x14ac:dyDescent="0.75">
      <c r="C1251" s="12"/>
    </row>
    <row r="1252" spans="3:3" x14ac:dyDescent="0.75">
      <c r="C1252" s="12"/>
    </row>
    <row r="1253" spans="3:3" x14ac:dyDescent="0.75">
      <c r="C1253" s="12"/>
    </row>
    <row r="1254" spans="3:3" x14ac:dyDescent="0.75">
      <c r="C1254" s="12"/>
    </row>
    <row r="1255" spans="3:3" x14ac:dyDescent="0.75">
      <c r="C1255" s="12"/>
    </row>
    <row r="1256" spans="3:3" x14ac:dyDescent="0.75">
      <c r="C1256" s="12"/>
    </row>
    <row r="1257" spans="3:3" x14ac:dyDescent="0.75">
      <c r="C1257" s="12"/>
    </row>
    <row r="1258" spans="3:3" x14ac:dyDescent="0.75">
      <c r="C1258" s="12"/>
    </row>
    <row r="1259" spans="3:3" x14ac:dyDescent="0.75">
      <c r="C1259" s="12"/>
    </row>
    <row r="1260" spans="3:3" x14ac:dyDescent="0.75">
      <c r="C1260" s="12"/>
    </row>
    <row r="1261" spans="3:3" x14ac:dyDescent="0.75">
      <c r="C1261" s="12"/>
    </row>
    <row r="1262" spans="3:3" x14ac:dyDescent="0.75">
      <c r="C1262" s="12"/>
    </row>
    <row r="1263" spans="3:3" x14ac:dyDescent="0.75">
      <c r="C1263" s="12"/>
    </row>
    <row r="1264" spans="3:3" x14ac:dyDescent="0.75">
      <c r="C1264" s="12"/>
    </row>
    <row r="1265" spans="3:3" x14ac:dyDescent="0.75">
      <c r="C1265" s="12"/>
    </row>
    <row r="1266" spans="3:3" x14ac:dyDescent="0.75">
      <c r="C1266" s="12"/>
    </row>
    <row r="1267" spans="3:3" x14ac:dyDescent="0.75">
      <c r="C1267" s="12"/>
    </row>
    <row r="1268" spans="3:3" x14ac:dyDescent="0.75">
      <c r="C1268" s="12"/>
    </row>
    <row r="1269" spans="3:3" x14ac:dyDescent="0.75">
      <c r="C1269" s="12"/>
    </row>
    <row r="1270" spans="3:3" x14ac:dyDescent="0.75">
      <c r="C1270" s="12"/>
    </row>
    <row r="1271" spans="3:3" x14ac:dyDescent="0.75">
      <c r="C1271" s="12"/>
    </row>
    <row r="1272" spans="3:3" x14ac:dyDescent="0.75">
      <c r="C1272" s="12"/>
    </row>
    <row r="1273" spans="3:3" x14ac:dyDescent="0.75">
      <c r="C1273" s="12"/>
    </row>
    <row r="1274" spans="3:3" x14ac:dyDescent="0.75">
      <c r="C1274" s="12"/>
    </row>
    <row r="1275" spans="3:3" x14ac:dyDescent="0.75">
      <c r="C1275" s="12"/>
    </row>
    <row r="1276" spans="3:3" x14ac:dyDescent="0.75">
      <c r="C1276" s="12"/>
    </row>
    <row r="1277" spans="3:3" x14ac:dyDescent="0.75">
      <c r="C1277" s="12"/>
    </row>
    <row r="1278" spans="3:3" x14ac:dyDescent="0.75">
      <c r="C1278" s="12"/>
    </row>
    <row r="1279" spans="3:3" x14ac:dyDescent="0.75">
      <c r="C1279" s="12"/>
    </row>
    <row r="1280" spans="3:3" x14ac:dyDescent="0.75">
      <c r="C1280" s="12"/>
    </row>
    <row r="1281" spans="3:3" x14ac:dyDescent="0.75">
      <c r="C1281" s="12"/>
    </row>
    <row r="1282" spans="3:3" x14ac:dyDescent="0.75">
      <c r="C1282" s="12"/>
    </row>
    <row r="1283" spans="3:3" x14ac:dyDescent="0.75">
      <c r="C1283" s="12"/>
    </row>
    <row r="1284" spans="3:3" x14ac:dyDescent="0.75">
      <c r="C1284" s="12"/>
    </row>
    <row r="1285" spans="3:3" x14ac:dyDescent="0.75">
      <c r="C1285" s="12"/>
    </row>
    <row r="1286" spans="3:3" x14ac:dyDescent="0.75">
      <c r="C1286" s="12"/>
    </row>
    <row r="1287" spans="3:3" x14ac:dyDescent="0.75">
      <c r="C1287" s="12"/>
    </row>
    <row r="1288" spans="3:3" x14ac:dyDescent="0.75">
      <c r="C1288" s="12"/>
    </row>
    <row r="1289" spans="3:3" x14ac:dyDescent="0.75">
      <c r="C1289" s="12"/>
    </row>
    <row r="1290" spans="3:3" x14ac:dyDescent="0.75">
      <c r="C1290" s="12"/>
    </row>
    <row r="1291" spans="3:3" x14ac:dyDescent="0.75">
      <c r="C1291" s="12"/>
    </row>
    <row r="1292" spans="3:3" x14ac:dyDescent="0.75">
      <c r="C1292" s="12"/>
    </row>
    <row r="1293" spans="3:3" x14ac:dyDescent="0.75">
      <c r="C1293" s="12"/>
    </row>
    <row r="1294" spans="3:3" x14ac:dyDescent="0.75">
      <c r="C1294" s="12"/>
    </row>
    <row r="1295" spans="3:3" x14ac:dyDescent="0.75">
      <c r="C1295" s="12"/>
    </row>
    <row r="1296" spans="3:3" x14ac:dyDescent="0.75">
      <c r="C1296" s="12"/>
    </row>
    <row r="1297" spans="3:3" x14ac:dyDescent="0.75">
      <c r="C1297" s="12"/>
    </row>
    <row r="1298" spans="3:3" x14ac:dyDescent="0.75">
      <c r="C1298" s="12"/>
    </row>
    <row r="1299" spans="3:3" x14ac:dyDescent="0.75">
      <c r="C1299" s="12"/>
    </row>
    <row r="1300" spans="3:3" x14ac:dyDescent="0.75">
      <c r="C1300" s="12"/>
    </row>
    <row r="1301" spans="3:3" x14ac:dyDescent="0.75">
      <c r="C1301" s="12"/>
    </row>
    <row r="1302" spans="3:3" x14ac:dyDescent="0.75">
      <c r="C1302" s="12"/>
    </row>
    <row r="1303" spans="3:3" x14ac:dyDescent="0.75">
      <c r="C1303" s="12"/>
    </row>
    <row r="1304" spans="3:3" x14ac:dyDescent="0.75">
      <c r="C1304" s="12"/>
    </row>
    <row r="1305" spans="3:3" x14ac:dyDescent="0.75">
      <c r="C1305" s="12"/>
    </row>
    <row r="1306" spans="3:3" x14ac:dyDescent="0.75">
      <c r="C1306" s="12"/>
    </row>
    <row r="1307" spans="3:3" x14ac:dyDescent="0.75">
      <c r="C1307" s="12"/>
    </row>
    <row r="1308" spans="3:3" x14ac:dyDescent="0.75">
      <c r="C1308" s="12"/>
    </row>
    <row r="1309" spans="3:3" x14ac:dyDescent="0.75">
      <c r="C1309" s="12"/>
    </row>
    <row r="1310" spans="3:3" x14ac:dyDescent="0.75">
      <c r="C1310" s="12"/>
    </row>
    <row r="1311" spans="3:3" x14ac:dyDescent="0.75">
      <c r="C1311" s="12"/>
    </row>
    <row r="1312" spans="3:3" x14ac:dyDescent="0.75">
      <c r="C1312" s="12"/>
    </row>
    <row r="1313" spans="3:3" x14ac:dyDescent="0.75">
      <c r="C1313" s="12"/>
    </row>
    <row r="1314" spans="3:3" x14ac:dyDescent="0.75">
      <c r="C1314" s="12"/>
    </row>
    <row r="1315" spans="3:3" x14ac:dyDescent="0.75">
      <c r="C1315" s="12"/>
    </row>
    <row r="1316" spans="3:3" x14ac:dyDescent="0.75">
      <c r="C1316" s="12"/>
    </row>
    <row r="1317" spans="3:3" x14ac:dyDescent="0.75">
      <c r="C1317" s="12"/>
    </row>
    <row r="1318" spans="3:3" x14ac:dyDescent="0.75">
      <c r="C1318" s="12"/>
    </row>
    <row r="1319" spans="3:3" x14ac:dyDescent="0.75">
      <c r="C1319" s="12"/>
    </row>
    <row r="1320" spans="3:3" x14ac:dyDescent="0.75">
      <c r="C1320" s="12"/>
    </row>
    <row r="1321" spans="3:3" x14ac:dyDescent="0.75">
      <c r="C1321" s="12"/>
    </row>
    <row r="1322" spans="3:3" x14ac:dyDescent="0.75">
      <c r="C1322" s="12"/>
    </row>
    <row r="1323" spans="3:3" x14ac:dyDescent="0.75">
      <c r="C1323" s="12"/>
    </row>
    <row r="1324" spans="3:3" x14ac:dyDescent="0.75">
      <c r="C1324" s="12"/>
    </row>
    <row r="1325" spans="3:3" x14ac:dyDescent="0.75">
      <c r="C1325" s="12"/>
    </row>
    <row r="1326" spans="3:3" x14ac:dyDescent="0.75">
      <c r="C1326" s="12"/>
    </row>
    <row r="1327" spans="3:3" x14ac:dyDescent="0.75">
      <c r="C1327" s="12"/>
    </row>
    <row r="1328" spans="3:3" x14ac:dyDescent="0.75">
      <c r="C1328" s="12"/>
    </row>
    <row r="1329" spans="3:3" x14ac:dyDescent="0.75">
      <c r="C1329" s="12"/>
    </row>
    <row r="1330" spans="3:3" x14ac:dyDescent="0.75">
      <c r="C1330" s="12"/>
    </row>
    <row r="1331" spans="3:3" x14ac:dyDescent="0.75">
      <c r="C1331" s="12"/>
    </row>
    <row r="1332" spans="3:3" x14ac:dyDescent="0.75">
      <c r="C1332" s="12"/>
    </row>
    <row r="1333" spans="3:3" x14ac:dyDescent="0.75">
      <c r="C1333" s="12"/>
    </row>
    <row r="1334" spans="3:3" x14ac:dyDescent="0.75">
      <c r="C1334" s="12"/>
    </row>
    <row r="1335" spans="3:3" x14ac:dyDescent="0.75">
      <c r="C1335" s="12"/>
    </row>
    <row r="1336" spans="3:3" x14ac:dyDescent="0.75">
      <c r="C1336" s="12"/>
    </row>
    <row r="1337" spans="3:3" x14ac:dyDescent="0.75">
      <c r="C1337" s="12"/>
    </row>
    <row r="1338" spans="3:3" x14ac:dyDescent="0.75">
      <c r="C1338" s="12"/>
    </row>
    <row r="1339" spans="3:3" x14ac:dyDescent="0.75">
      <c r="C1339" s="12"/>
    </row>
    <row r="1340" spans="3:3" x14ac:dyDescent="0.75">
      <c r="C1340" s="12"/>
    </row>
    <row r="1341" spans="3:3" x14ac:dyDescent="0.75">
      <c r="C1341" s="12"/>
    </row>
    <row r="1342" spans="3:3" x14ac:dyDescent="0.75">
      <c r="C1342" s="12"/>
    </row>
    <row r="1343" spans="3:3" x14ac:dyDescent="0.75">
      <c r="C1343" s="12"/>
    </row>
    <row r="1344" spans="3:3" x14ac:dyDescent="0.75">
      <c r="C1344" s="12"/>
    </row>
    <row r="1345" spans="3:3" x14ac:dyDescent="0.75">
      <c r="C1345" s="12"/>
    </row>
    <row r="1346" spans="3:3" x14ac:dyDescent="0.75">
      <c r="C1346" s="12"/>
    </row>
    <row r="1347" spans="3:3" x14ac:dyDescent="0.75">
      <c r="C1347" s="12"/>
    </row>
    <row r="1348" spans="3:3" x14ac:dyDescent="0.75">
      <c r="C1348" s="12"/>
    </row>
    <row r="1349" spans="3:3" x14ac:dyDescent="0.75">
      <c r="C1349" s="12"/>
    </row>
    <row r="1350" spans="3:3" x14ac:dyDescent="0.75">
      <c r="C1350" s="12"/>
    </row>
    <row r="1351" spans="3:3" x14ac:dyDescent="0.75">
      <c r="C1351" s="12"/>
    </row>
    <row r="1352" spans="3:3" x14ac:dyDescent="0.75">
      <c r="C1352" s="12"/>
    </row>
    <row r="1353" spans="3:3" x14ac:dyDescent="0.75">
      <c r="C1353" s="12"/>
    </row>
    <row r="1354" spans="3:3" x14ac:dyDescent="0.75">
      <c r="C1354" s="12"/>
    </row>
    <row r="1355" spans="3:3" x14ac:dyDescent="0.75">
      <c r="C1355" s="12"/>
    </row>
    <row r="1356" spans="3:3" x14ac:dyDescent="0.75">
      <c r="C1356" s="12"/>
    </row>
    <row r="1357" spans="3:3" x14ac:dyDescent="0.75">
      <c r="C1357" s="12"/>
    </row>
    <row r="1358" spans="3:3" x14ac:dyDescent="0.75">
      <c r="C1358" s="12"/>
    </row>
    <row r="1359" spans="3:3" x14ac:dyDescent="0.75">
      <c r="C1359" s="12"/>
    </row>
    <row r="1360" spans="3:3" x14ac:dyDescent="0.75">
      <c r="C1360" s="12"/>
    </row>
    <row r="1361" spans="3:3" x14ac:dyDescent="0.75">
      <c r="C1361" s="12"/>
    </row>
    <row r="1362" spans="3:3" x14ac:dyDescent="0.75">
      <c r="C1362" s="12"/>
    </row>
    <row r="1363" spans="3:3" x14ac:dyDescent="0.75">
      <c r="C1363" s="12"/>
    </row>
    <row r="1364" spans="3:3" x14ac:dyDescent="0.75">
      <c r="C1364" s="12"/>
    </row>
    <row r="1365" spans="3:3" x14ac:dyDescent="0.75">
      <c r="C1365" s="12"/>
    </row>
    <row r="1366" spans="3:3" x14ac:dyDescent="0.75">
      <c r="C1366" s="12"/>
    </row>
    <row r="1367" spans="3:3" x14ac:dyDescent="0.75">
      <c r="C1367" s="12"/>
    </row>
    <row r="1368" spans="3:3" x14ac:dyDescent="0.75">
      <c r="C1368" s="12"/>
    </row>
    <row r="1369" spans="3:3" x14ac:dyDescent="0.75">
      <c r="C1369" s="12"/>
    </row>
    <row r="1370" spans="3:3" x14ac:dyDescent="0.75">
      <c r="C1370" s="12"/>
    </row>
    <row r="1371" spans="3:3" x14ac:dyDescent="0.75">
      <c r="C1371" s="12"/>
    </row>
    <row r="1372" spans="3:3" x14ac:dyDescent="0.75">
      <c r="C1372" s="12"/>
    </row>
    <row r="1373" spans="3:3" x14ac:dyDescent="0.75">
      <c r="C1373" s="12"/>
    </row>
    <row r="1374" spans="3:3" x14ac:dyDescent="0.75">
      <c r="C1374" s="12"/>
    </row>
    <row r="1375" spans="3:3" x14ac:dyDescent="0.75">
      <c r="C1375" s="12"/>
    </row>
    <row r="1376" spans="3:3" x14ac:dyDescent="0.75">
      <c r="C1376" s="12"/>
    </row>
    <row r="1377" spans="3:3" x14ac:dyDescent="0.75">
      <c r="C1377" s="12"/>
    </row>
    <row r="1378" spans="3:3" x14ac:dyDescent="0.75">
      <c r="C1378" s="12"/>
    </row>
    <row r="1379" spans="3:3" x14ac:dyDescent="0.75">
      <c r="C1379" s="12"/>
    </row>
    <row r="1380" spans="3:3" x14ac:dyDescent="0.75">
      <c r="C1380" s="12"/>
    </row>
    <row r="1381" spans="3:3" x14ac:dyDescent="0.75">
      <c r="C1381" s="12"/>
    </row>
    <row r="1382" spans="3:3" x14ac:dyDescent="0.75">
      <c r="C1382" s="12"/>
    </row>
    <row r="1383" spans="3:3" x14ac:dyDescent="0.75">
      <c r="C1383" s="12"/>
    </row>
    <row r="1384" spans="3:3" x14ac:dyDescent="0.75">
      <c r="C1384" s="12"/>
    </row>
    <row r="1385" spans="3:3" x14ac:dyDescent="0.75">
      <c r="C1385" s="12"/>
    </row>
    <row r="1386" spans="3:3" x14ac:dyDescent="0.75">
      <c r="C1386" s="12"/>
    </row>
    <row r="1387" spans="3:3" x14ac:dyDescent="0.75">
      <c r="C1387" s="12"/>
    </row>
    <row r="1388" spans="3:3" x14ac:dyDescent="0.75">
      <c r="C1388" s="12"/>
    </row>
    <row r="1389" spans="3:3" x14ac:dyDescent="0.75">
      <c r="C1389" s="12"/>
    </row>
    <row r="1390" spans="3:3" x14ac:dyDescent="0.75">
      <c r="C1390" s="12"/>
    </row>
    <row r="1391" spans="3:3" x14ac:dyDescent="0.75">
      <c r="C1391" s="12"/>
    </row>
    <row r="1392" spans="3:3" x14ac:dyDescent="0.75">
      <c r="C1392" s="12"/>
    </row>
    <row r="1393" spans="3:11" x14ac:dyDescent="0.75">
      <c r="C1393" s="12"/>
    </row>
    <row r="1394" spans="3:11" x14ac:dyDescent="0.75">
      <c r="C1394" s="12"/>
    </row>
    <row r="1395" spans="3:11" x14ac:dyDescent="0.75">
      <c r="C1395" s="12"/>
    </row>
    <row r="1396" spans="3:11" x14ac:dyDescent="0.75">
      <c r="C1396" s="12"/>
    </row>
    <row r="1397" spans="3:11" x14ac:dyDescent="0.75">
      <c r="C1397" s="12"/>
    </row>
    <row r="1398" spans="3:11" x14ac:dyDescent="0.75">
      <c r="C1398" s="12"/>
    </row>
    <row r="1399" spans="3:11" x14ac:dyDescent="0.75">
      <c r="C1399" s="12"/>
      <c r="K1399" s="12"/>
    </row>
    <row r="1400" spans="3:11" x14ac:dyDescent="0.75">
      <c r="C1400" s="12"/>
      <c r="K1400" s="12"/>
    </row>
    <row r="1401" spans="3:11" x14ac:dyDescent="0.75">
      <c r="C1401" s="12"/>
      <c r="K1401" s="12"/>
    </row>
    <row r="1402" spans="3:11" x14ac:dyDescent="0.75">
      <c r="C1402" s="12"/>
      <c r="K1402" s="12"/>
    </row>
    <row r="1403" spans="3:11" x14ac:dyDescent="0.75">
      <c r="C1403" s="12"/>
      <c r="K1403" s="12"/>
    </row>
    <row r="1404" spans="3:11" x14ac:dyDescent="0.75">
      <c r="C1404" s="12"/>
      <c r="K1404" s="12"/>
    </row>
    <row r="1405" spans="3:11" x14ac:dyDescent="0.75">
      <c r="C1405" s="12"/>
      <c r="K1405" s="12"/>
    </row>
    <row r="1406" spans="3:11" x14ac:dyDescent="0.75">
      <c r="C1406" s="12"/>
      <c r="K1406" s="12"/>
    </row>
    <row r="1407" spans="3:11" x14ac:dyDescent="0.75">
      <c r="C1407" s="12"/>
      <c r="K1407" s="12"/>
    </row>
    <row r="1408" spans="3:11" x14ac:dyDescent="0.75">
      <c r="C1408" s="12"/>
      <c r="K1408" s="12"/>
    </row>
    <row r="1409" spans="3:11" x14ac:dyDescent="0.75">
      <c r="C1409" s="12"/>
      <c r="K1409" s="12"/>
    </row>
    <row r="1410" spans="3:11" x14ac:dyDescent="0.75">
      <c r="C1410" s="12"/>
      <c r="K1410" s="12"/>
    </row>
    <row r="1411" spans="3:11" x14ac:dyDescent="0.75">
      <c r="C1411" s="12"/>
      <c r="K1411" s="12"/>
    </row>
    <row r="1412" spans="3:11" x14ac:dyDescent="0.75">
      <c r="C1412" s="12"/>
      <c r="K1412" s="12"/>
    </row>
    <row r="1413" spans="3:11" x14ac:dyDescent="0.75">
      <c r="C1413" s="12"/>
      <c r="K1413" s="12"/>
    </row>
    <row r="1414" spans="3:11" x14ac:dyDescent="0.75">
      <c r="C1414" s="12"/>
      <c r="K1414" s="12"/>
    </row>
    <row r="1415" spans="3:11" x14ac:dyDescent="0.75">
      <c r="C1415" s="12"/>
      <c r="K1415" s="12"/>
    </row>
    <row r="1416" spans="3:11" x14ac:dyDescent="0.75">
      <c r="C1416" s="12"/>
      <c r="K1416" s="12"/>
    </row>
    <row r="1417" spans="3:11" x14ac:dyDescent="0.75">
      <c r="C1417" s="12"/>
      <c r="K1417" s="12"/>
    </row>
    <row r="1418" spans="3:11" x14ac:dyDescent="0.75">
      <c r="C1418" s="12"/>
      <c r="K1418" s="12"/>
    </row>
    <row r="1419" spans="3:11" x14ac:dyDescent="0.75">
      <c r="C1419" s="12"/>
      <c r="K1419" s="12"/>
    </row>
    <row r="1420" spans="3:11" x14ac:dyDescent="0.75">
      <c r="C1420" s="12"/>
      <c r="K1420" s="12"/>
    </row>
    <row r="1421" spans="3:11" x14ac:dyDescent="0.75">
      <c r="C1421" s="12"/>
      <c r="K1421" s="12"/>
    </row>
    <row r="1422" spans="3:11" x14ac:dyDescent="0.75">
      <c r="C1422" s="12"/>
      <c r="K1422" s="12"/>
    </row>
    <row r="1423" spans="3:11" x14ac:dyDescent="0.75">
      <c r="C1423" s="12"/>
      <c r="K1423" s="12"/>
    </row>
    <row r="1424" spans="3:11" x14ac:dyDescent="0.75">
      <c r="C1424" s="12"/>
      <c r="K1424" s="12"/>
    </row>
    <row r="1425" spans="3:11" x14ac:dyDescent="0.75">
      <c r="C1425" s="12"/>
      <c r="K1425" s="12"/>
    </row>
    <row r="1426" spans="3:11" x14ac:dyDescent="0.75">
      <c r="C1426" s="12"/>
      <c r="K1426" s="12"/>
    </row>
    <row r="1427" spans="3:11" x14ac:dyDescent="0.75">
      <c r="C1427" s="12"/>
      <c r="K1427" s="12"/>
    </row>
    <row r="1428" spans="3:11" x14ac:dyDescent="0.75">
      <c r="C1428" s="12"/>
      <c r="K1428" s="12"/>
    </row>
    <row r="1429" spans="3:11" x14ac:dyDescent="0.75">
      <c r="C1429" s="12"/>
      <c r="K1429" s="12"/>
    </row>
    <row r="1430" spans="3:11" x14ac:dyDescent="0.75">
      <c r="C1430" s="12"/>
      <c r="K1430" s="12"/>
    </row>
    <row r="1431" spans="3:11" x14ac:dyDescent="0.75">
      <c r="C1431" s="12"/>
      <c r="K1431" s="12"/>
    </row>
    <row r="1432" spans="3:11" x14ac:dyDescent="0.75">
      <c r="C1432" s="12"/>
      <c r="K1432" s="12"/>
    </row>
    <row r="1433" spans="3:11" x14ac:dyDescent="0.75">
      <c r="C1433" s="12"/>
      <c r="K1433" s="12"/>
    </row>
    <row r="1434" spans="3:11" x14ac:dyDescent="0.75">
      <c r="C1434" s="12"/>
      <c r="K1434" s="12"/>
    </row>
    <row r="1435" spans="3:11" x14ac:dyDescent="0.75">
      <c r="C1435" s="12"/>
      <c r="K1435" s="12"/>
    </row>
    <row r="1436" spans="3:11" x14ac:dyDescent="0.75">
      <c r="C1436" s="12"/>
      <c r="K1436" s="12"/>
    </row>
    <row r="1437" spans="3:11" x14ac:dyDescent="0.75">
      <c r="C1437" s="12"/>
      <c r="K1437" s="12"/>
    </row>
    <row r="1438" spans="3:11" x14ac:dyDescent="0.75">
      <c r="C1438" s="12"/>
      <c r="K1438" s="12"/>
    </row>
    <row r="1439" spans="3:11" x14ac:dyDescent="0.75">
      <c r="C1439" s="12"/>
      <c r="K1439" s="12"/>
    </row>
    <row r="1440" spans="3:11" x14ac:dyDescent="0.75">
      <c r="C1440" s="12"/>
      <c r="K1440" s="12"/>
    </row>
    <row r="1441" spans="3:11" x14ac:dyDescent="0.75">
      <c r="C1441" s="12"/>
      <c r="K1441" s="12"/>
    </row>
    <row r="1442" spans="3:11" x14ac:dyDescent="0.75">
      <c r="C1442" s="12"/>
      <c r="K1442" s="12"/>
    </row>
    <row r="1443" spans="3:11" x14ac:dyDescent="0.75">
      <c r="C1443" s="12"/>
      <c r="K1443" s="12"/>
    </row>
    <row r="1444" spans="3:11" x14ac:dyDescent="0.75">
      <c r="C1444" s="12"/>
      <c r="K1444" s="12"/>
    </row>
    <row r="1445" spans="3:11" x14ac:dyDescent="0.75">
      <c r="C1445" s="12"/>
      <c r="K1445" s="12"/>
    </row>
    <row r="1446" spans="3:11" x14ac:dyDescent="0.75">
      <c r="C1446" s="12"/>
      <c r="K1446" s="12"/>
    </row>
    <row r="1447" spans="3:11" x14ac:dyDescent="0.75">
      <c r="C1447" s="12"/>
      <c r="K1447" s="12"/>
    </row>
    <row r="1448" spans="3:11" x14ac:dyDescent="0.75">
      <c r="C1448" s="12"/>
      <c r="K1448" s="12"/>
    </row>
    <row r="1449" spans="3:11" x14ac:dyDescent="0.75">
      <c r="C1449" s="12"/>
      <c r="K1449" s="12"/>
    </row>
    <row r="1450" spans="3:11" x14ac:dyDescent="0.75">
      <c r="C1450" s="12"/>
      <c r="K1450" s="12"/>
    </row>
    <row r="1451" spans="3:11" x14ac:dyDescent="0.75">
      <c r="C1451" s="12"/>
      <c r="K1451" s="12"/>
    </row>
    <row r="1452" spans="3:11" x14ac:dyDescent="0.75">
      <c r="C1452" s="12"/>
      <c r="K1452" s="12"/>
    </row>
    <row r="1453" spans="3:11" x14ac:dyDescent="0.75">
      <c r="C1453" s="12"/>
      <c r="K1453" s="12"/>
    </row>
    <row r="1454" spans="3:11" x14ac:dyDescent="0.75">
      <c r="C1454" s="12"/>
      <c r="K1454" s="12"/>
    </row>
    <row r="1455" spans="3:11" x14ac:dyDescent="0.75">
      <c r="C1455" s="12"/>
      <c r="K1455" s="12"/>
    </row>
    <row r="1456" spans="3:11" x14ac:dyDescent="0.75">
      <c r="C1456" s="12"/>
      <c r="K1456" s="12"/>
    </row>
    <row r="1457" spans="3:11" x14ac:dyDescent="0.75">
      <c r="C1457" s="12"/>
      <c r="K1457" s="12"/>
    </row>
    <row r="1458" spans="3:11" x14ac:dyDescent="0.75">
      <c r="C1458" s="12"/>
      <c r="K1458" s="12"/>
    </row>
    <row r="1459" spans="3:11" x14ac:dyDescent="0.75">
      <c r="C1459" s="12"/>
      <c r="K1459" s="12"/>
    </row>
    <row r="1460" spans="3:11" x14ac:dyDescent="0.75">
      <c r="C1460" s="12"/>
      <c r="K1460" s="12"/>
    </row>
    <row r="1461" spans="3:11" x14ac:dyDescent="0.75">
      <c r="C1461" s="12"/>
      <c r="K1461" s="12"/>
    </row>
    <row r="1462" spans="3:11" x14ac:dyDescent="0.75">
      <c r="C1462" s="12"/>
      <c r="K1462" s="12"/>
    </row>
    <row r="1463" spans="3:11" x14ac:dyDescent="0.75">
      <c r="C1463" s="12"/>
      <c r="K1463" s="12"/>
    </row>
    <row r="1464" spans="3:11" x14ac:dyDescent="0.75">
      <c r="C1464" s="12"/>
      <c r="K1464" s="12"/>
    </row>
    <row r="1465" spans="3:11" x14ac:dyDescent="0.75">
      <c r="C1465" s="12"/>
      <c r="K1465" s="12"/>
    </row>
    <row r="1466" spans="3:11" x14ac:dyDescent="0.75">
      <c r="C1466" s="12"/>
      <c r="K1466" s="12"/>
    </row>
    <row r="1467" spans="3:11" x14ac:dyDescent="0.75">
      <c r="C1467" s="12"/>
      <c r="K1467" s="12"/>
    </row>
    <row r="1468" spans="3:11" x14ac:dyDescent="0.75">
      <c r="C1468" s="12"/>
      <c r="K1468" s="12"/>
    </row>
    <row r="1469" spans="3:11" x14ac:dyDescent="0.75">
      <c r="C1469" s="12"/>
      <c r="K1469" s="12"/>
    </row>
    <row r="1470" spans="3:11" x14ac:dyDescent="0.75">
      <c r="C1470" s="12"/>
      <c r="K1470" s="12"/>
    </row>
    <row r="1471" spans="3:11" x14ac:dyDescent="0.75">
      <c r="C1471" s="12"/>
      <c r="K1471" s="12"/>
    </row>
    <row r="1472" spans="3:11" x14ac:dyDescent="0.75">
      <c r="C1472" s="12"/>
      <c r="K1472" s="12"/>
    </row>
    <row r="1473" spans="3:11" x14ac:dyDescent="0.75">
      <c r="C1473" s="12"/>
      <c r="K1473" s="12"/>
    </row>
    <row r="1474" spans="3:11" x14ac:dyDescent="0.75">
      <c r="C1474" s="12"/>
      <c r="K1474" s="12"/>
    </row>
    <row r="1475" spans="3:11" x14ac:dyDescent="0.75">
      <c r="C1475" s="12"/>
      <c r="K1475" s="12"/>
    </row>
    <row r="1476" spans="3:11" x14ac:dyDescent="0.75">
      <c r="C1476" s="12"/>
      <c r="K1476" s="12"/>
    </row>
    <row r="1477" spans="3:11" x14ac:dyDescent="0.75">
      <c r="C1477" s="12"/>
      <c r="K1477" s="12"/>
    </row>
    <row r="1478" spans="3:11" x14ac:dyDescent="0.75">
      <c r="C1478" s="12"/>
      <c r="K1478" s="12"/>
    </row>
    <row r="1479" spans="3:11" x14ac:dyDescent="0.75">
      <c r="C1479" s="12"/>
      <c r="K1479" s="12"/>
    </row>
    <row r="1480" spans="3:11" x14ac:dyDescent="0.75">
      <c r="C1480" s="12"/>
      <c r="K1480" s="12"/>
    </row>
    <row r="1481" spans="3:11" x14ac:dyDescent="0.75">
      <c r="C1481" s="12"/>
      <c r="K1481" s="12"/>
    </row>
    <row r="1482" spans="3:11" x14ac:dyDescent="0.75">
      <c r="C1482" s="12"/>
      <c r="K1482" s="12"/>
    </row>
    <row r="1483" spans="3:11" x14ac:dyDescent="0.75">
      <c r="C1483" s="12"/>
      <c r="K1483" s="12"/>
    </row>
    <row r="1484" spans="3:11" x14ac:dyDescent="0.75">
      <c r="C1484" s="12"/>
      <c r="K1484" s="12"/>
    </row>
    <row r="1485" spans="3:11" x14ac:dyDescent="0.75">
      <c r="C1485" s="12"/>
      <c r="K1485" s="12"/>
    </row>
    <row r="1486" spans="3:11" x14ac:dyDescent="0.75">
      <c r="C1486" s="12"/>
      <c r="K1486" s="12"/>
    </row>
    <row r="1487" spans="3:11" x14ac:dyDescent="0.75">
      <c r="C1487" s="12"/>
      <c r="K1487" s="12"/>
    </row>
    <row r="1488" spans="3:11" x14ac:dyDescent="0.75">
      <c r="C1488" s="12"/>
      <c r="K1488" s="12"/>
    </row>
    <row r="1489" spans="3:11" x14ac:dyDescent="0.75">
      <c r="C1489" s="12"/>
      <c r="K1489" s="12"/>
    </row>
    <row r="1490" spans="3:11" x14ac:dyDescent="0.75">
      <c r="C1490" s="12"/>
      <c r="K1490" s="12"/>
    </row>
    <row r="1491" spans="3:11" x14ac:dyDescent="0.75">
      <c r="C1491" s="12"/>
      <c r="K1491" s="12"/>
    </row>
    <row r="1492" spans="3:11" x14ac:dyDescent="0.75">
      <c r="C1492" s="12"/>
      <c r="K1492" s="12"/>
    </row>
    <row r="1493" spans="3:11" x14ac:dyDescent="0.75">
      <c r="C1493" s="12"/>
      <c r="K1493" s="12"/>
    </row>
    <row r="1494" spans="3:11" x14ac:dyDescent="0.75">
      <c r="C1494" s="12"/>
      <c r="K1494" s="12"/>
    </row>
    <row r="1495" spans="3:11" x14ac:dyDescent="0.75">
      <c r="C1495" s="12"/>
      <c r="K1495" s="12"/>
    </row>
    <row r="1496" spans="3:11" x14ac:dyDescent="0.75">
      <c r="C1496" s="12"/>
      <c r="K1496" s="12"/>
    </row>
    <row r="1497" spans="3:11" x14ac:dyDescent="0.75">
      <c r="C1497" s="12"/>
      <c r="K1497" s="12"/>
    </row>
    <row r="1498" spans="3:11" x14ac:dyDescent="0.75">
      <c r="C1498" s="12"/>
      <c r="K1498" s="12"/>
    </row>
    <row r="1499" spans="3:11" x14ac:dyDescent="0.75">
      <c r="C1499" s="12"/>
      <c r="K1499" s="12"/>
    </row>
    <row r="1500" spans="3:11" x14ac:dyDescent="0.75">
      <c r="C1500" s="12"/>
      <c r="K1500" s="12"/>
    </row>
    <row r="1501" spans="3:11" x14ac:dyDescent="0.75">
      <c r="C1501" s="12"/>
      <c r="K1501" s="12"/>
    </row>
    <row r="1502" spans="3:11" x14ac:dyDescent="0.75">
      <c r="C1502" s="12"/>
      <c r="K1502" s="12"/>
    </row>
    <row r="1503" spans="3:11" x14ac:dyDescent="0.75">
      <c r="C1503" s="12"/>
      <c r="K1503" s="12"/>
    </row>
    <row r="1504" spans="3:11" x14ac:dyDescent="0.75">
      <c r="C1504" s="12"/>
      <c r="K1504" s="12"/>
    </row>
    <row r="1505" spans="3:11" x14ac:dyDescent="0.75">
      <c r="C1505" s="12"/>
      <c r="K1505" s="12"/>
    </row>
    <row r="1506" spans="3:11" x14ac:dyDescent="0.75">
      <c r="C1506" s="12"/>
      <c r="K1506" s="12"/>
    </row>
    <row r="1507" spans="3:11" x14ac:dyDescent="0.75">
      <c r="C1507" s="12"/>
      <c r="K1507" s="12"/>
    </row>
    <row r="1508" spans="3:11" x14ac:dyDescent="0.75">
      <c r="C1508" s="12"/>
      <c r="K1508" s="12"/>
    </row>
    <row r="1509" spans="3:11" x14ac:dyDescent="0.75">
      <c r="C1509" s="12"/>
      <c r="K1509" s="12"/>
    </row>
    <row r="1510" spans="3:11" x14ac:dyDescent="0.75">
      <c r="C1510" s="12"/>
      <c r="K1510" s="12"/>
    </row>
    <row r="1511" spans="3:11" x14ac:dyDescent="0.75">
      <c r="C1511" s="12"/>
      <c r="K1511" s="12"/>
    </row>
    <row r="1512" spans="3:11" x14ac:dyDescent="0.75">
      <c r="C1512" s="12"/>
      <c r="K1512" s="12"/>
    </row>
    <row r="1513" spans="3:11" x14ac:dyDescent="0.75">
      <c r="C1513" s="12"/>
      <c r="K1513" s="12"/>
    </row>
    <row r="1514" spans="3:11" x14ac:dyDescent="0.75">
      <c r="C1514" s="12"/>
      <c r="K1514" s="12"/>
    </row>
    <row r="1515" spans="3:11" x14ac:dyDescent="0.75">
      <c r="C1515" s="12"/>
      <c r="K1515" s="12"/>
    </row>
    <row r="1516" spans="3:11" x14ac:dyDescent="0.75">
      <c r="C1516" s="12"/>
      <c r="K1516" s="12"/>
    </row>
    <row r="1517" spans="3:11" x14ac:dyDescent="0.75">
      <c r="C1517" s="12"/>
      <c r="K1517" s="12"/>
    </row>
    <row r="1518" spans="3:11" x14ac:dyDescent="0.75">
      <c r="C1518" s="12"/>
      <c r="K1518" s="12"/>
    </row>
    <row r="1519" spans="3:11" x14ac:dyDescent="0.75">
      <c r="C1519" s="12"/>
      <c r="K1519" s="12"/>
    </row>
    <row r="1520" spans="3:11" x14ac:dyDescent="0.75">
      <c r="C1520" s="12"/>
      <c r="K1520" s="12"/>
    </row>
    <row r="1521" spans="3:11" x14ac:dyDescent="0.75">
      <c r="C1521" s="12"/>
      <c r="K1521" s="12"/>
    </row>
    <row r="1522" spans="3:11" x14ac:dyDescent="0.75">
      <c r="C1522" s="12"/>
      <c r="K1522" s="12"/>
    </row>
    <row r="1523" spans="3:11" x14ac:dyDescent="0.75">
      <c r="C1523" s="12"/>
      <c r="K1523" s="12"/>
    </row>
    <row r="1524" spans="3:11" x14ac:dyDescent="0.75">
      <c r="C1524" s="12"/>
      <c r="K1524" s="12"/>
    </row>
    <row r="1525" spans="3:11" x14ac:dyDescent="0.75">
      <c r="C1525" s="12"/>
      <c r="K1525" s="12"/>
    </row>
    <row r="1526" spans="3:11" x14ac:dyDescent="0.75">
      <c r="C1526" s="12"/>
      <c r="K1526" s="12"/>
    </row>
    <row r="1527" spans="3:11" x14ac:dyDescent="0.75">
      <c r="C1527" s="12"/>
      <c r="K1527" s="12"/>
    </row>
    <row r="1528" spans="3:11" x14ac:dyDescent="0.75">
      <c r="C1528" s="12"/>
      <c r="K1528" s="12"/>
    </row>
    <row r="1529" spans="3:11" x14ac:dyDescent="0.75">
      <c r="C1529" s="12"/>
      <c r="K1529" s="12"/>
    </row>
    <row r="1530" spans="3:11" x14ac:dyDescent="0.75">
      <c r="C1530" s="12"/>
      <c r="K1530" s="12"/>
    </row>
    <row r="1531" spans="3:11" x14ac:dyDescent="0.75">
      <c r="C1531" s="12"/>
      <c r="K1531" s="12"/>
    </row>
    <row r="1532" spans="3:11" x14ac:dyDescent="0.75">
      <c r="C1532" s="12"/>
      <c r="K1532" s="12"/>
    </row>
    <row r="1533" spans="3:11" x14ac:dyDescent="0.75">
      <c r="C1533" s="12"/>
      <c r="K1533" s="12"/>
    </row>
    <row r="1534" spans="3:11" x14ac:dyDescent="0.75">
      <c r="C1534" s="12"/>
      <c r="K1534" s="12"/>
    </row>
    <row r="1535" spans="3:11" x14ac:dyDescent="0.75">
      <c r="C1535" s="12"/>
      <c r="K1535" s="12"/>
    </row>
    <row r="1536" spans="3:11" x14ac:dyDescent="0.75">
      <c r="C1536" s="12"/>
      <c r="K1536" s="12"/>
    </row>
    <row r="1537" spans="3:11" x14ac:dyDescent="0.75">
      <c r="C1537" s="12"/>
      <c r="K1537" s="12"/>
    </row>
    <row r="1538" spans="3:11" x14ac:dyDescent="0.75">
      <c r="C1538" s="12"/>
      <c r="K1538" s="12"/>
    </row>
    <row r="1539" spans="3:11" x14ac:dyDescent="0.75">
      <c r="C1539" s="12"/>
      <c r="K1539" s="12"/>
    </row>
    <row r="1540" spans="3:11" x14ac:dyDescent="0.75">
      <c r="C1540" s="12"/>
      <c r="K1540" s="12"/>
    </row>
    <row r="1541" spans="3:11" x14ac:dyDescent="0.75">
      <c r="C1541" s="12"/>
      <c r="K1541" s="12"/>
    </row>
    <row r="1542" spans="3:11" x14ac:dyDescent="0.75">
      <c r="C1542" s="12"/>
      <c r="K1542" s="12"/>
    </row>
    <row r="1543" spans="3:11" x14ac:dyDescent="0.75">
      <c r="C1543" s="12"/>
      <c r="K1543" s="12"/>
    </row>
    <row r="1544" spans="3:11" x14ac:dyDescent="0.75">
      <c r="C1544" s="12"/>
      <c r="K1544" s="12"/>
    </row>
    <row r="1545" spans="3:11" x14ac:dyDescent="0.75">
      <c r="C1545" s="12"/>
      <c r="K1545" s="12"/>
    </row>
    <row r="1546" spans="3:11" x14ac:dyDescent="0.75">
      <c r="C1546" s="12"/>
      <c r="K1546" s="12"/>
    </row>
    <row r="1547" spans="3:11" x14ac:dyDescent="0.75">
      <c r="C1547" s="12"/>
      <c r="K1547" s="12"/>
    </row>
    <row r="1548" spans="3:11" x14ac:dyDescent="0.75">
      <c r="C1548" s="12"/>
      <c r="K1548" s="12"/>
    </row>
    <row r="1549" spans="3:11" x14ac:dyDescent="0.75">
      <c r="C1549" s="12"/>
      <c r="K1549" s="12"/>
    </row>
    <row r="1550" spans="3:11" x14ac:dyDescent="0.75">
      <c r="C1550" s="12"/>
      <c r="K1550" s="12"/>
    </row>
    <row r="1551" spans="3:11" x14ac:dyDescent="0.75">
      <c r="C1551" s="12"/>
      <c r="K1551" s="12"/>
    </row>
    <row r="1552" spans="3:11" x14ac:dyDescent="0.75">
      <c r="C1552" s="12"/>
      <c r="K1552" s="12"/>
    </row>
    <row r="1553" spans="3:11" x14ac:dyDescent="0.75">
      <c r="C1553" s="12"/>
      <c r="K1553" s="12"/>
    </row>
    <row r="1554" spans="3:11" x14ac:dyDescent="0.75">
      <c r="C1554" s="12"/>
      <c r="K1554" s="12"/>
    </row>
    <row r="1555" spans="3:11" x14ac:dyDescent="0.75">
      <c r="C1555" s="12"/>
      <c r="K1555" s="12"/>
    </row>
    <row r="1556" spans="3:11" x14ac:dyDescent="0.75">
      <c r="C1556" s="12"/>
      <c r="K1556" s="12"/>
    </row>
    <row r="1557" spans="3:11" x14ac:dyDescent="0.75">
      <c r="C1557" s="12"/>
      <c r="K1557" s="12"/>
    </row>
    <row r="1558" spans="3:11" x14ac:dyDescent="0.75">
      <c r="C1558" s="12"/>
      <c r="K1558" s="12"/>
    </row>
    <row r="1559" spans="3:11" x14ac:dyDescent="0.75">
      <c r="C1559" s="12"/>
      <c r="K1559" s="12"/>
    </row>
    <row r="1560" spans="3:11" x14ac:dyDescent="0.75">
      <c r="C1560" s="12"/>
      <c r="K1560" s="12"/>
    </row>
    <row r="1561" spans="3:11" x14ac:dyDescent="0.75">
      <c r="C1561" s="12"/>
      <c r="K1561" s="12"/>
    </row>
    <row r="1562" spans="3:11" x14ac:dyDescent="0.75">
      <c r="C1562" s="12"/>
      <c r="K1562" s="12"/>
    </row>
    <row r="1563" spans="3:11" x14ac:dyDescent="0.75">
      <c r="C1563" s="12"/>
      <c r="K1563" s="12"/>
    </row>
    <row r="1564" spans="3:11" x14ac:dyDescent="0.75">
      <c r="C1564" s="12"/>
      <c r="K1564" s="12"/>
    </row>
    <row r="1565" spans="3:11" x14ac:dyDescent="0.75">
      <c r="C1565" s="12"/>
      <c r="K1565" s="12"/>
    </row>
    <row r="1566" spans="3:11" x14ac:dyDescent="0.75">
      <c r="C1566" s="12"/>
      <c r="K1566" s="12"/>
    </row>
    <row r="1567" spans="3:11" x14ac:dyDescent="0.75">
      <c r="C1567" s="12"/>
      <c r="K1567" s="12"/>
    </row>
    <row r="1568" spans="3:11" x14ac:dyDescent="0.75">
      <c r="C1568" s="12"/>
      <c r="K1568" s="12"/>
    </row>
    <row r="1569" spans="3:11" x14ac:dyDescent="0.75">
      <c r="C1569" s="12"/>
      <c r="K1569" s="12"/>
    </row>
    <row r="1570" spans="3:11" x14ac:dyDescent="0.75">
      <c r="C1570" s="12"/>
      <c r="K1570" s="12"/>
    </row>
    <row r="1571" spans="3:11" x14ac:dyDescent="0.75">
      <c r="C1571" s="12"/>
      <c r="K1571" s="12"/>
    </row>
    <row r="1572" spans="3:11" x14ac:dyDescent="0.75">
      <c r="C1572" s="12"/>
      <c r="K1572" s="12"/>
    </row>
    <row r="1573" spans="3:11" x14ac:dyDescent="0.75">
      <c r="C1573" s="12"/>
      <c r="K1573" s="12"/>
    </row>
    <row r="1574" spans="3:11" x14ac:dyDescent="0.75">
      <c r="C1574" s="12"/>
      <c r="K1574" s="12"/>
    </row>
    <row r="1575" spans="3:11" x14ac:dyDescent="0.75">
      <c r="C1575" s="12"/>
      <c r="K1575" s="12"/>
    </row>
    <row r="1576" spans="3:11" x14ac:dyDescent="0.75">
      <c r="C1576" s="12"/>
      <c r="K1576" s="12"/>
    </row>
    <row r="1577" spans="3:11" x14ac:dyDescent="0.75">
      <c r="C1577" s="12"/>
      <c r="K1577" s="12"/>
    </row>
    <row r="1578" spans="3:11" x14ac:dyDescent="0.75">
      <c r="C1578" s="12"/>
      <c r="K1578" s="12"/>
    </row>
    <row r="1579" spans="3:11" x14ac:dyDescent="0.75">
      <c r="C1579" s="12"/>
      <c r="K1579" s="12"/>
    </row>
    <row r="1580" spans="3:11" x14ac:dyDescent="0.75">
      <c r="C1580" s="12"/>
      <c r="K1580" s="12"/>
    </row>
    <row r="1581" spans="3:11" x14ac:dyDescent="0.75">
      <c r="C1581" s="12"/>
      <c r="K1581" s="12"/>
    </row>
    <row r="1582" spans="3:11" x14ac:dyDescent="0.75">
      <c r="C1582" s="12"/>
      <c r="K1582" s="12"/>
    </row>
    <row r="1583" spans="3:11" x14ac:dyDescent="0.75">
      <c r="C1583" s="12"/>
      <c r="K1583" s="12"/>
    </row>
    <row r="1584" spans="3:11" x14ac:dyDescent="0.75">
      <c r="C1584" s="12"/>
      <c r="K1584" s="12"/>
    </row>
    <row r="1585" spans="3:11" x14ac:dyDescent="0.75">
      <c r="C1585" s="12"/>
      <c r="K1585" s="12"/>
    </row>
    <row r="1586" spans="3:11" x14ac:dyDescent="0.75">
      <c r="C1586" s="12"/>
      <c r="K1586" s="12"/>
    </row>
    <row r="1587" spans="3:11" x14ac:dyDescent="0.75">
      <c r="C1587" s="12"/>
      <c r="K1587" s="12"/>
    </row>
    <row r="1588" spans="3:11" x14ac:dyDescent="0.75">
      <c r="C1588" s="12"/>
      <c r="K1588" s="12"/>
    </row>
    <row r="1589" spans="3:11" x14ac:dyDescent="0.75">
      <c r="C1589" s="12"/>
      <c r="K1589" s="12"/>
    </row>
    <row r="1590" spans="3:11" x14ac:dyDescent="0.75">
      <c r="C1590" s="12"/>
      <c r="K1590" s="12"/>
    </row>
    <row r="1591" spans="3:11" x14ac:dyDescent="0.75">
      <c r="C1591" s="12"/>
      <c r="K1591" s="12"/>
    </row>
    <row r="1592" spans="3:11" x14ac:dyDescent="0.75">
      <c r="C1592" s="12"/>
      <c r="K1592" s="12"/>
    </row>
    <row r="1593" spans="3:11" x14ac:dyDescent="0.75">
      <c r="C1593" s="12"/>
      <c r="K1593" s="12"/>
    </row>
    <row r="1594" spans="3:11" x14ac:dyDescent="0.75">
      <c r="C1594" s="12"/>
      <c r="K1594" s="12"/>
    </row>
    <row r="1595" spans="3:11" x14ac:dyDescent="0.75">
      <c r="C1595" s="12"/>
      <c r="K1595" s="12"/>
    </row>
    <row r="1596" spans="3:11" x14ac:dyDescent="0.75">
      <c r="C1596" s="12"/>
      <c r="K1596" s="12"/>
    </row>
    <row r="1597" spans="3:11" x14ac:dyDescent="0.75">
      <c r="C1597" s="12"/>
      <c r="K1597" s="12"/>
    </row>
    <row r="1598" spans="3:11" x14ac:dyDescent="0.75">
      <c r="C1598" s="12"/>
      <c r="K1598" s="12"/>
    </row>
    <row r="1599" spans="3:11" x14ac:dyDescent="0.75">
      <c r="C1599" s="12"/>
      <c r="K1599" s="12"/>
    </row>
    <row r="1600" spans="3:11" x14ac:dyDescent="0.75">
      <c r="C1600" s="12"/>
      <c r="K1600" s="12"/>
    </row>
    <row r="1601" spans="3:11" x14ac:dyDescent="0.75">
      <c r="C1601" s="12"/>
      <c r="K1601" s="12"/>
    </row>
    <row r="1602" spans="3:11" x14ac:dyDescent="0.75">
      <c r="C1602" s="12"/>
      <c r="K1602" s="12"/>
    </row>
    <row r="1603" spans="3:11" x14ac:dyDescent="0.75">
      <c r="C1603" s="12"/>
      <c r="K1603" s="12"/>
    </row>
    <row r="1604" spans="3:11" x14ac:dyDescent="0.75">
      <c r="C1604" s="12"/>
      <c r="K1604" s="12"/>
    </row>
    <row r="1605" spans="3:11" x14ac:dyDescent="0.75">
      <c r="C1605" s="12"/>
      <c r="K1605" s="12"/>
    </row>
    <row r="1606" spans="3:11" x14ac:dyDescent="0.75">
      <c r="C1606" s="12"/>
      <c r="K1606" s="12"/>
    </row>
    <row r="1607" spans="3:11" x14ac:dyDescent="0.75">
      <c r="C1607" s="12"/>
      <c r="K1607" s="12"/>
    </row>
    <row r="1608" spans="3:11" x14ac:dyDescent="0.75">
      <c r="C1608" s="12"/>
      <c r="K1608" s="12"/>
    </row>
    <row r="1609" spans="3:11" x14ac:dyDescent="0.75">
      <c r="C1609" s="12"/>
      <c r="K1609" s="12"/>
    </row>
    <row r="1610" spans="3:11" x14ac:dyDescent="0.75">
      <c r="C1610" s="12"/>
      <c r="K1610" s="12"/>
    </row>
    <row r="1611" spans="3:11" x14ac:dyDescent="0.75">
      <c r="C1611" s="12"/>
      <c r="K1611" s="12"/>
    </row>
    <row r="1612" spans="3:11" x14ac:dyDescent="0.75">
      <c r="C1612" s="12"/>
      <c r="K1612" s="12"/>
    </row>
    <row r="1613" spans="3:11" x14ac:dyDescent="0.75">
      <c r="C1613" s="12"/>
      <c r="K1613" s="12"/>
    </row>
    <row r="1614" spans="3:11" x14ac:dyDescent="0.75">
      <c r="C1614" s="12"/>
      <c r="K1614" s="12"/>
    </row>
    <row r="1615" spans="3:11" x14ac:dyDescent="0.75">
      <c r="C1615" s="12"/>
      <c r="K1615" s="12"/>
    </row>
    <row r="1616" spans="3:11" x14ac:dyDescent="0.75">
      <c r="C1616" s="12"/>
      <c r="K1616" s="12"/>
    </row>
    <row r="1617" spans="3:11" x14ac:dyDescent="0.75">
      <c r="C1617" s="12"/>
      <c r="K1617" s="12"/>
    </row>
    <row r="1618" spans="3:11" x14ac:dyDescent="0.75">
      <c r="C1618" s="12"/>
      <c r="K1618" s="12"/>
    </row>
    <row r="1619" spans="3:11" x14ac:dyDescent="0.75">
      <c r="C1619" s="12"/>
      <c r="K1619" s="12"/>
    </row>
    <row r="1620" spans="3:11" x14ac:dyDescent="0.75">
      <c r="C1620" s="12"/>
      <c r="K1620" s="12"/>
    </row>
    <row r="1621" spans="3:11" x14ac:dyDescent="0.75">
      <c r="C1621" s="12"/>
      <c r="K1621" s="12"/>
    </row>
    <row r="1622" spans="3:11" x14ac:dyDescent="0.75">
      <c r="C1622" s="12"/>
      <c r="K1622" s="12"/>
    </row>
    <row r="1623" spans="3:11" x14ac:dyDescent="0.75">
      <c r="C1623" s="12"/>
      <c r="K1623" s="12"/>
    </row>
    <row r="1624" spans="3:11" x14ac:dyDescent="0.75">
      <c r="C1624" s="12"/>
      <c r="K1624" s="12"/>
    </row>
    <row r="1625" spans="3:11" x14ac:dyDescent="0.75">
      <c r="C1625" s="12"/>
      <c r="K1625" s="12"/>
    </row>
    <row r="1626" spans="3:11" x14ac:dyDescent="0.75">
      <c r="C1626" s="12"/>
      <c r="K1626" s="12"/>
    </row>
    <row r="1627" spans="3:11" x14ac:dyDescent="0.75">
      <c r="C1627" s="12"/>
      <c r="K1627" s="12"/>
    </row>
    <row r="1628" spans="3:11" x14ac:dyDescent="0.75">
      <c r="C1628" s="12"/>
      <c r="K1628" s="12"/>
    </row>
    <row r="1629" spans="3:11" x14ac:dyDescent="0.75">
      <c r="C1629" s="12"/>
      <c r="K1629" s="12"/>
    </row>
    <row r="1630" spans="3:11" x14ac:dyDescent="0.75">
      <c r="C1630" s="12"/>
      <c r="K1630" s="12"/>
    </row>
    <row r="1631" spans="3:11" x14ac:dyDescent="0.75">
      <c r="C1631" s="12"/>
      <c r="K1631" s="12"/>
    </row>
    <row r="1632" spans="3:11" x14ac:dyDescent="0.75">
      <c r="C1632" s="12"/>
      <c r="K1632" s="12"/>
    </row>
    <row r="1633" spans="3:11" x14ac:dyDescent="0.75">
      <c r="C1633" s="12"/>
      <c r="K1633" s="12"/>
    </row>
    <row r="1634" spans="3:11" x14ac:dyDescent="0.75">
      <c r="C1634" s="12"/>
      <c r="K1634" s="12"/>
    </row>
    <row r="1635" spans="3:11" x14ac:dyDescent="0.75">
      <c r="C1635" s="12"/>
      <c r="K1635" s="12"/>
    </row>
    <row r="1636" spans="3:11" x14ac:dyDescent="0.75">
      <c r="C1636" s="12"/>
      <c r="K1636" s="12"/>
    </row>
    <row r="1637" spans="3:11" x14ac:dyDescent="0.75">
      <c r="C1637" s="12"/>
      <c r="K1637" s="12"/>
    </row>
    <row r="1638" spans="3:11" x14ac:dyDescent="0.75">
      <c r="C1638" s="12"/>
      <c r="K1638" s="12"/>
    </row>
    <row r="1639" spans="3:11" x14ac:dyDescent="0.75">
      <c r="C1639" s="12"/>
      <c r="K1639" s="12"/>
    </row>
    <row r="1640" spans="3:11" x14ac:dyDescent="0.75">
      <c r="C1640" s="12"/>
      <c r="K1640" s="12"/>
    </row>
    <row r="1641" spans="3:11" x14ac:dyDescent="0.75">
      <c r="C1641" s="12"/>
      <c r="K1641" s="12"/>
    </row>
    <row r="1642" spans="3:11" x14ac:dyDescent="0.75">
      <c r="C1642" s="12"/>
      <c r="K1642" s="12"/>
    </row>
    <row r="1643" spans="3:11" x14ac:dyDescent="0.75">
      <c r="C1643" s="12"/>
      <c r="K1643" s="12"/>
    </row>
    <row r="1644" spans="3:11" x14ac:dyDescent="0.75">
      <c r="C1644" s="12"/>
      <c r="K1644" s="12"/>
    </row>
    <row r="1645" spans="3:11" x14ac:dyDescent="0.75">
      <c r="C1645" s="12"/>
      <c r="K1645" s="12"/>
    </row>
    <row r="1646" spans="3:11" x14ac:dyDescent="0.75">
      <c r="C1646" s="12"/>
      <c r="K1646" s="12"/>
    </row>
    <row r="1647" spans="3:11" x14ac:dyDescent="0.75">
      <c r="C1647" s="12"/>
      <c r="K1647" s="12"/>
    </row>
    <row r="1648" spans="3:11" x14ac:dyDescent="0.75">
      <c r="C1648" s="12"/>
      <c r="K1648" s="12"/>
    </row>
    <row r="1649" spans="3:11" x14ac:dyDescent="0.75">
      <c r="C1649" s="12"/>
      <c r="K1649" s="12"/>
    </row>
    <row r="1650" spans="3:11" x14ac:dyDescent="0.75">
      <c r="C1650" s="12"/>
      <c r="K1650" s="12"/>
    </row>
    <row r="1651" spans="3:11" x14ac:dyDescent="0.75">
      <c r="C1651" s="12"/>
      <c r="K1651" s="12"/>
    </row>
    <row r="1652" spans="3:11" x14ac:dyDescent="0.75">
      <c r="C1652" s="12"/>
      <c r="K1652" s="12"/>
    </row>
    <row r="1653" spans="3:11" x14ac:dyDescent="0.75">
      <c r="C1653" s="12"/>
      <c r="K1653" s="12"/>
    </row>
    <row r="1654" spans="3:11" x14ac:dyDescent="0.75">
      <c r="C1654" s="12"/>
      <c r="K1654" s="12"/>
    </row>
    <row r="1655" spans="3:11" x14ac:dyDescent="0.75">
      <c r="C1655" s="12"/>
      <c r="K1655" s="12"/>
    </row>
    <row r="1656" spans="3:11" x14ac:dyDescent="0.75">
      <c r="C1656" s="12"/>
      <c r="K1656" s="12"/>
    </row>
    <row r="1657" spans="3:11" x14ac:dyDescent="0.75">
      <c r="C1657" s="12"/>
      <c r="K1657" s="12"/>
    </row>
    <row r="1658" spans="3:11" x14ac:dyDescent="0.75">
      <c r="C1658" s="12"/>
      <c r="K1658" s="12"/>
    </row>
    <row r="1659" spans="3:11" x14ac:dyDescent="0.75">
      <c r="C1659" s="12"/>
      <c r="K1659" s="12"/>
    </row>
    <row r="1660" spans="3:11" x14ac:dyDescent="0.75">
      <c r="C1660" s="12"/>
      <c r="K1660" s="12"/>
    </row>
    <row r="1661" spans="3:11" x14ac:dyDescent="0.75">
      <c r="C1661" s="12"/>
      <c r="K1661" s="12"/>
    </row>
    <row r="1662" spans="3:11" x14ac:dyDescent="0.75">
      <c r="C1662" s="12"/>
      <c r="K1662" s="12"/>
    </row>
    <row r="1663" spans="3:11" x14ac:dyDescent="0.75">
      <c r="C1663" s="12"/>
      <c r="K1663" s="12"/>
    </row>
    <row r="1664" spans="3:11" x14ac:dyDescent="0.75">
      <c r="C1664" s="12"/>
      <c r="K1664" s="12"/>
    </row>
    <row r="1665" spans="3:11" x14ac:dyDescent="0.75">
      <c r="C1665" s="12"/>
      <c r="K1665" s="12"/>
    </row>
    <row r="1666" spans="3:11" x14ac:dyDescent="0.75">
      <c r="C1666" s="12"/>
      <c r="K1666" s="12"/>
    </row>
    <row r="1667" spans="3:11" x14ac:dyDescent="0.75">
      <c r="C1667" s="12"/>
      <c r="K1667" s="12"/>
    </row>
    <row r="1668" spans="3:11" x14ac:dyDescent="0.75">
      <c r="C1668" s="12"/>
      <c r="K1668" s="12"/>
    </row>
    <row r="1669" spans="3:11" x14ac:dyDescent="0.75">
      <c r="C1669" s="12"/>
      <c r="K1669" s="12"/>
    </row>
    <row r="1670" spans="3:11" x14ac:dyDescent="0.75">
      <c r="C1670" s="12"/>
      <c r="K1670" s="12"/>
    </row>
    <row r="1671" spans="3:11" x14ac:dyDescent="0.75">
      <c r="C1671" s="12"/>
      <c r="K1671" s="12"/>
    </row>
    <row r="1672" spans="3:11" x14ac:dyDescent="0.75">
      <c r="C1672" s="12"/>
      <c r="K1672" s="12"/>
    </row>
    <row r="1673" spans="3:11" x14ac:dyDescent="0.75">
      <c r="C1673" s="12"/>
      <c r="K1673" s="12"/>
    </row>
    <row r="1674" spans="3:11" x14ac:dyDescent="0.75">
      <c r="C1674" s="12"/>
      <c r="K1674" s="12"/>
    </row>
    <row r="1675" spans="3:11" x14ac:dyDescent="0.75">
      <c r="C1675" s="12"/>
      <c r="K1675" s="12"/>
    </row>
    <row r="1676" spans="3:11" x14ac:dyDescent="0.75">
      <c r="C1676" s="12"/>
      <c r="K1676" s="12"/>
    </row>
    <row r="1677" spans="3:11" x14ac:dyDescent="0.75">
      <c r="C1677" s="12"/>
      <c r="K1677" s="12"/>
    </row>
    <row r="1678" spans="3:11" x14ac:dyDescent="0.75">
      <c r="C1678" s="12"/>
      <c r="K1678" s="12"/>
    </row>
    <row r="1679" spans="3:11" x14ac:dyDescent="0.75">
      <c r="C1679" s="12"/>
      <c r="K1679" s="12"/>
    </row>
    <row r="1680" spans="3:11" x14ac:dyDescent="0.75">
      <c r="C1680" s="12"/>
      <c r="K1680" s="12"/>
    </row>
    <row r="1681" spans="3:11" x14ac:dyDescent="0.75">
      <c r="C1681" s="12"/>
      <c r="K1681" s="12"/>
    </row>
    <row r="1682" spans="3:11" x14ac:dyDescent="0.75">
      <c r="C1682" s="12"/>
      <c r="K1682" s="12"/>
    </row>
    <row r="1683" spans="3:11" x14ac:dyDescent="0.75">
      <c r="C1683" s="12"/>
      <c r="K1683" s="12"/>
    </row>
    <row r="1684" spans="3:11" x14ac:dyDescent="0.75">
      <c r="C1684" s="12"/>
      <c r="K1684" s="12"/>
    </row>
    <row r="1685" spans="3:11" x14ac:dyDescent="0.75">
      <c r="C1685" s="12"/>
      <c r="K1685" s="12"/>
    </row>
    <row r="1686" spans="3:11" x14ac:dyDescent="0.75">
      <c r="C1686" s="12"/>
      <c r="K1686" s="12"/>
    </row>
    <row r="1687" spans="3:11" x14ac:dyDescent="0.75">
      <c r="C1687" s="12"/>
      <c r="K1687" s="12"/>
    </row>
    <row r="1688" spans="3:11" x14ac:dyDescent="0.75">
      <c r="C1688" s="12"/>
      <c r="K1688" s="12"/>
    </row>
    <row r="1689" spans="3:11" x14ac:dyDescent="0.75">
      <c r="C1689" s="12"/>
      <c r="K1689" s="12"/>
    </row>
    <row r="1690" spans="3:11" x14ac:dyDescent="0.75">
      <c r="C1690" s="12"/>
      <c r="K1690" s="12"/>
    </row>
    <row r="1691" spans="3:11" x14ac:dyDescent="0.75">
      <c r="C1691" s="12"/>
      <c r="K1691" s="12"/>
    </row>
    <row r="1692" spans="3:11" x14ac:dyDescent="0.75">
      <c r="C1692" s="12"/>
      <c r="K1692" s="12"/>
    </row>
    <row r="1693" spans="3:11" x14ac:dyDescent="0.75">
      <c r="C1693" s="12"/>
      <c r="K1693" s="12"/>
    </row>
    <row r="1694" spans="3:11" x14ac:dyDescent="0.75">
      <c r="C1694" s="12"/>
      <c r="K1694" s="12"/>
    </row>
    <row r="1695" spans="3:11" x14ac:dyDescent="0.75">
      <c r="C1695" s="12"/>
      <c r="K1695" s="12"/>
    </row>
    <row r="1696" spans="3:11" x14ac:dyDescent="0.75">
      <c r="C1696" s="12"/>
      <c r="K1696" s="12"/>
    </row>
    <row r="1697" spans="3:11" x14ac:dyDescent="0.75">
      <c r="C1697" s="12"/>
      <c r="K1697" s="12"/>
    </row>
    <row r="1698" spans="3:11" x14ac:dyDescent="0.75">
      <c r="C1698" s="12"/>
      <c r="K1698" s="12"/>
    </row>
    <row r="1699" spans="3:11" x14ac:dyDescent="0.75">
      <c r="C1699" s="12"/>
      <c r="K1699" s="12"/>
    </row>
    <row r="1700" spans="3:11" x14ac:dyDescent="0.75">
      <c r="C1700" s="12"/>
      <c r="K1700" s="12"/>
    </row>
    <row r="1701" spans="3:11" x14ac:dyDescent="0.75">
      <c r="C1701" s="12"/>
      <c r="K1701" s="12"/>
    </row>
    <row r="1702" spans="3:11" x14ac:dyDescent="0.75">
      <c r="C1702" s="12"/>
      <c r="K1702" s="12"/>
    </row>
    <row r="1703" spans="3:11" x14ac:dyDescent="0.75">
      <c r="C1703" s="12"/>
      <c r="K1703" s="12"/>
    </row>
    <row r="1704" spans="3:11" x14ac:dyDescent="0.75">
      <c r="C1704" s="12"/>
      <c r="K1704" s="12"/>
    </row>
    <row r="1705" spans="3:11" x14ac:dyDescent="0.75">
      <c r="C1705" s="12"/>
      <c r="K1705" s="12"/>
    </row>
    <row r="1706" spans="3:11" x14ac:dyDescent="0.75">
      <c r="C1706" s="12"/>
      <c r="K1706" s="12"/>
    </row>
    <row r="1707" spans="3:11" x14ac:dyDescent="0.75">
      <c r="C1707" s="12"/>
      <c r="K1707" s="12"/>
    </row>
    <row r="1708" spans="3:11" x14ac:dyDescent="0.75">
      <c r="C1708" s="12"/>
      <c r="K1708" s="12"/>
    </row>
    <row r="1709" spans="3:11" x14ac:dyDescent="0.75">
      <c r="C1709" s="12"/>
      <c r="K1709" s="12"/>
    </row>
    <row r="1710" spans="3:11" x14ac:dyDescent="0.75">
      <c r="C1710" s="12"/>
      <c r="K1710" s="12"/>
    </row>
    <row r="1711" spans="3:11" x14ac:dyDescent="0.75">
      <c r="C1711" s="12"/>
      <c r="K1711" s="12"/>
    </row>
    <row r="1712" spans="3:11" x14ac:dyDescent="0.75">
      <c r="C1712" s="12"/>
      <c r="K1712" s="12"/>
    </row>
    <row r="1713" spans="3:11" x14ac:dyDescent="0.75">
      <c r="C1713" s="12"/>
      <c r="K1713" s="12"/>
    </row>
    <row r="1714" spans="3:11" x14ac:dyDescent="0.75">
      <c r="C1714" s="12"/>
      <c r="K1714" s="12"/>
    </row>
    <row r="1715" spans="3:11" x14ac:dyDescent="0.75">
      <c r="C1715" s="12"/>
      <c r="K1715" s="12"/>
    </row>
    <row r="1716" spans="3:11" x14ac:dyDescent="0.75">
      <c r="C1716" s="12"/>
      <c r="K1716" s="12"/>
    </row>
    <row r="1717" spans="3:11" x14ac:dyDescent="0.75">
      <c r="C1717" s="12"/>
      <c r="K1717" s="12"/>
    </row>
    <row r="1718" spans="3:11" x14ac:dyDescent="0.75">
      <c r="C1718" s="12"/>
      <c r="K1718" s="12"/>
    </row>
    <row r="1719" spans="3:11" x14ac:dyDescent="0.75">
      <c r="C1719" s="12"/>
      <c r="K1719" s="12"/>
    </row>
    <row r="1720" spans="3:11" x14ac:dyDescent="0.75">
      <c r="C1720" s="12"/>
      <c r="K1720" s="12"/>
    </row>
    <row r="1721" spans="3:11" x14ac:dyDescent="0.75">
      <c r="C1721" s="12"/>
      <c r="K1721" s="12"/>
    </row>
    <row r="1722" spans="3:11" x14ac:dyDescent="0.75">
      <c r="C1722" s="12"/>
      <c r="K1722" s="12"/>
    </row>
    <row r="1723" spans="3:11" x14ac:dyDescent="0.75">
      <c r="C1723" s="12"/>
      <c r="K1723" s="12"/>
    </row>
    <row r="1724" spans="3:11" x14ac:dyDescent="0.75">
      <c r="C1724" s="12"/>
      <c r="K1724" s="12"/>
    </row>
    <row r="1725" spans="3:11" x14ac:dyDescent="0.75">
      <c r="C1725" s="12"/>
      <c r="K1725" s="12"/>
    </row>
    <row r="1726" spans="3:11" x14ac:dyDescent="0.75">
      <c r="C1726" s="12"/>
      <c r="K1726" s="12"/>
    </row>
    <row r="1727" spans="3:11" x14ac:dyDescent="0.75">
      <c r="C1727" s="12"/>
      <c r="K1727" s="12"/>
    </row>
    <row r="1728" spans="3:11" x14ac:dyDescent="0.75">
      <c r="C1728" s="12"/>
      <c r="K1728" s="12"/>
    </row>
    <row r="1729" spans="3:11" x14ac:dyDescent="0.75">
      <c r="C1729" s="12"/>
      <c r="K1729" s="12"/>
    </row>
    <row r="1730" spans="3:11" x14ac:dyDescent="0.75">
      <c r="C1730" s="12"/>
      <c r="K1730" s="12"/>
    </row>
    <row r="1731" spans="3:11" x14ac:dyDescent="0.75">
      <c r="C1731" s="12"/>
      <c r="K1731" s="12"/>
    </row>
    <row r="1732" spans="3:11" x14ac:dyDescent="0.75">
      <c r="C1732" s="12"/>
      <c r="K1732" s="12"/>
    </row>
    <row r="1733" spans="3:11" x14ac:dyDescent="0.75">
      <c r="C1733" s="12"/>
      <c r="K1733" s="12"/>
    </row>
    <row r="1734" spans="3:11" x14ac:dyDescent="0.75">
      <c r="C1734" s="12"/>
      <c r="K1734" s="12"/>
    </row>
    <row r="1735" spans="3:11" x14ac:dyDescent="0.75">
      <c r="C1735" s="12"/>
      <c r="K1735" s="12"/>
    </row>
    <row r="1736" spans="3:11" x14ac:dyDescent="0.75">
      <c r="C1736" s="12"/>
      <c r="K1736" s="12"/>
    </row>
    <row r="1737" spans="3:11" x14ac:dyDescent="0.75">
      <c r="C1737" s="12"/>
      <c r="K1737" s="12"/>
    </row>
    <row r="1738" spans="3:11" x14ac:dyDescent="0.75">
      <c r="C1738" s="12"/>
      <c r="K1738" s="12"/>
    </row>
    <row r="1739" spans="3:11" x14ac:dyDescent="0.75">
      <c r="C1739" s="12"/>
      <c r="K1739" s="12"/>
    </row>
    <row r="1740" spans="3:11" x14ac:dyDescent="0.75">
      <c r="C1740" s="12"/>
      <c r="K1740" s="12"/>
    </row>
    <row r="1741" spans="3:11" x14ac:dyDescent="0.75">
      <c r="C1741" s="12"/>
      <c r="K1741" s="12"/>
    </row>
    <row r="1742" spans="3:11" x14ac:dyDescent="0.75">
      <c r="C1742" s="12"/>
      <c r="K1742" s="12"/>
    </row>
    <row r="1743" spans="3:11" x14ac:dyDescent="0.75">
      <c r="C1743" s="12"/>
      <c r="K1743" s="12"/>
    </row>
    <row r="1744" spans="3:11" x14ac:dyDescent="0.75">
      <c r="C1744" s="12"/>
      <c r="K1744" s="12"/>
    </row>
    <row r="1745" spans="3:11" x14ac:dyDescent="0.75">
      <c r="C1745" s="12"/>
      <c r="K1745" s="12"/>
    </row>
    <row r="1746" spans="3:11" x14ac:dyDescent="0.75">
      <c r="C1746" s="12"/>
      <c r="K1746" s="12"/>
    </row>
    <row r="1747" spans="3:11" x14ac:dyDescent="0.75">
      <c r="C1747" s="12"/>
      <c r="K1747" s="12"/>
    </row>
    <row r="1748" spans="3:11" x14ac:dyDescent="0.75">
      <c r="C1748" s="12"/>
      <c r="K1748" s="12"/>
    </row>
    <row r="1749" spans="3:11" x14ac:dyDescent="0.75">
      <c r="C1749" s="12"/>
      <c r="K1749" s="12"/>
    </row>
    <row r="1750" spans="3:11" x14ac:dyDescent="0.75">
      <c r="C1750" s="12"/>
      <c r="K1750" s="12"/>
    </row>
    <row r="1751" spans="3:11" x14ac:dyDescent="0.75">
      <c r="C1751" s="12"/>
      <c r="K1751" s="12"/>
    </row>
    <row r="1752" spans="3:11" x14ac:dyDescent="0.75">
      <c r="C1752" s="12"/>
      <c r="K1752" s="12"/>
    </row>
    <row r="1753" spans="3:11" x14ac:dyDescent="0.75">
      <c r="C1753" s="12"/>
      <c r="K1753" s="12"/>
    </row>
    <row r="1754" spans="3:11" x14ac:dyDescent="0.75">
      <c r="C1754" s="12"/>
      <c r="K1754" s="12"/>
    </row>
    <row r="1755" spans="3:11" x14ac:dyDescent="0.75">
      <c r="C1755" s="12"/>
      <c r="K1755" s="12"/>
    </row>
    <row r="1756" spans="3:11" x14ac:dyDescent="0.75">
      <c r="C1756" s="12"/>
      <c r="K1756" s="12"/>
    </row>
    <row r="1757" spans="3:11" x14ac:dyDescent="0.75">
      <c r="C1757" s="12"/>
      <c r="K1757" s="12"/>
    </row>
    <row r="1758" spans="3:11" x14ac:dyDescent="0.75">
      <c r="C1758" s="12"/>
      <c r="K1758" s="12"/>
    </row>
    <row r="1759" spans="3:11" x14ac:dyDescent="0.75">
      <c r="C1759" s="12"/>
      <c r="K1759" s="12"/>
    </row>
    <row r="1760" spans="3:11" x14ac:dyDescent="0.75">
      <c r="C1760" s="12"/>
      <c r="K1760" s="12"/>
    </row>
    <row r="1761" spans="3:11" x14ac:dyDescent="0.75">
      <c r="C1761" s="12"/>
      <c r="K1761" s="12"/>
    </row>
    <row r="1762" spans="3:11" x14ac:dyDescent="0.75">
      <c r="C1762" s="12"/>
      <c r="K1762" s="12"/>
    </row>
    <row r="1763" spans="3:11" x14ac:dyDescent="0.75">
      <c r="C1763" s="12"/>
      <c r="K1763" s="12"/>
    </row>
    <row r="1764" spans="3:11" x14ac:dyDescent="0.75">
      <c r="C1764" s="12"/>
      <c r="K1764" s="12"/>
    </row>
    <row r="1765" spans="3:11" x14ac:dyDescent="0.75">
      <c r="C1765" s="12"/>
      <c r="K1765" s="12"/>
    </row>
    <row r="1766" spans="3:11" x14ac:dyDescent="0.75">
      <c r="C1766" s="12"/>
      <c r="K1766" s="12"/>
    </row>
    <row r="1767" spans="3:11" x14ac:dyDescent="0.75">
      <c r="C1767" s="12"/>
      <c r="K1767" s="12"/>
    </row>
    <row r="1768" spans="3:11" x14ac:dyDescent="0.75">
      <c r="C1768" s="12"/>
      <c r="K1768" s="12"/>
    </row>
    <row r="1769" spans="3:11" x14ac:dyDescent="0.75">
      <c r="C1769" s="12"/>
      <c r="K1769" s="12"/>
    </row>
    <row r="1770" spans="3:11" x14ac:dyDescent="0.75">
      <c r="C1770" s="12"/>
      <c r="K1770" s="12"/>
    </row>
    <row r="1771" spans="3:11" x14ac:dyDescent="0.75">
      <c r="C1771" s="12"/>
      <c r="K1771" s="12"/>
    </row>
    <row r="1772" spans="3:11" x14ac:dyDescent="0.75">
      <c r="C1772" s="12"/>
      <c r="K1772" s="12"/>
    </row>
    <row r="1773" spans="3:11" x14ac:dyDescent="0.75">
      <c r="C1773" s="12"/>
      <c r="K1773" s="12"/>
    </row>
    <row r="1774" spans="3:11" x14ac:dyDescent="0.75">
      <c r="C1774" s="12"/>
      <c r="K1774" s="12"/>
    </row>
    <row r="1775" spans="3:11" x14ac:dyDescent="0.75">
      <c r="C1775" s="12"/>
      <c r="K1775" s="12"/>
    </row>
    <row r="1776" spans="3:11" x14ac:dyDescent="0.75">
      <c r="C1776" s="12"/>
      <c r="K1776" s="12"/>
    </row>
    <row r="1777" spans="3:11" x14ac:dyDescent="0.75">
      <c r="C1777" s="12"/>
      <c r="K1777" s="12"/>
    </row>
    <row r="1778" spans="3:11" x14ac:dyDescent="0.75">
      <c r="C1778" s="12"/>
      <c r="K1778" s="12"/>
    </row>
    <row r="1779" spans="3:11" x14ac:dyDescent="0.75">
      <c r="C1779" s="12"/>
      <c r="K1779" s="12"/>
    </row>
    <row r="1780" spans="3:11" x14ac:dyDescent="0.75">
      <c r="C1780" s="12"/>
      <c r="K1780" s="12"/>
    </row>
    <row r="1781" spans="3:11" x14ac:dyDescent="0.75">
      <c r="C1781" s="12"/>
      <c r="K1781" s="12"/>
    </row>
    <row r="1782" spans="3:11" x14ac:dyDescent="0.75">
      <c r="C1782" s="12"/>
      <c r="K1782" s="12"/>
    </row>
    <row r="1783" spans="3:11" x14ac:dyDescent="0.75">
      <c r="C1783" s="12"/>
      <c r="K1783" s="12"/>
    </row>
    <row r="1784" spans="3:11" x14ac:dyDescent="0.75">
      <c r="C1784" s="12"/>
      <c r="K1784" s="12"/>
    </row>
    <row r="1785" spans="3:11" x14ac:dyDescent="0.75">
      <c r="C1785" s="12"/>
      <c r="K1785" s="12"/>
    </row>
    <row r="1786" spans="3:11" x14ac:dyDescent="0.75">
      <c r="C1786" s="12"/>
      <c r="K1786" s="12"/>
    </row>
    <row r="1787" spans="3:11" x14ac:dyDescent="0.75">
      <c r="C1787" s="12"/>
      <c r="K1787" s="12"/>
    </row>
    <row r="1788" spans="3:11" x14ac:dyDescent="0.75">
      <c r="C1788" s="12"/>
      <c r="K1788" s="12"/>
    </row>
    <row r="1789" spans="3:11" x14ac:dyDescent="0.75">
      <c r="C1789" s="12"/>
      <c r="K1789" s="12"/>
    </row>
    <row r="1790" spans="3:11" x14ac:dyDescent="0.75">
      <c r="C1790" s="12"/>
      <c r="K1790" s="12"/>
    </row>
    <row r="1791" spans="3:11" x14ac:dyDescent="0.75">
      <c r="C1791" s="12"/>
      <c r="K1791" s="12"/>
    </row>
    <row r="1792" spans="3:11" x14ac:dyDescent="0.75">
      <c r="C1792" s="12"/>
      <c r="K1792" s="12"/>
    </row>
    <row r="1793" spans="3:11" x14ac:dyDescent="0.75">
      <c r="C1793" s="12"/>
      <c r="K1793" s="12"/>
    </row>
    <row r="1794" spans="3:11" x14ac:dyDescent="0.75">
      <c r="C1794" s="12"/>
      <c r="K1794" s="12"/>
    </row>
    <row r="1795" spans="3:11" x14ac:dyDescent="0.75">
      <c r="C1795" s="12"/>
      <c r="K1795" s="12"/>
    </row>
    <row r="1796" spans="3:11" x14ac:dyDescent="0.75">
      <c r="C1796" s="12"/>
      <c r="K1796" s="12"/>
    </row>
    <row r="1797" spans="3:11" x14ac:dyDescent="0.75">
      <c r="C1797" s="12"/>
      <c r="K1797" s="12"/>
    </row>
    <row r="1798" spans="3:11" x14ac:dyDescent="0.75">
      <c r="C1798" s="12"/>
      <c r="K1798" s="12"/>
    </row>
    <row r="1799" spans="3:11" x14ac:dyDescent="0.75">
      <c r="C1799" s="12"/>
      <c r="K1799" s="12"/>
    </row>
    <row r="1800" spans="3:11" x14ac:dyDescent="0.75">
      <c r="C1800" s="12"/>
      <c r="K1800" s="12"/>
    </row>
    <row r="1801" spans="3:11" x14ac:dyDescent="0.75">
      <c r="C1801" s="12"/>
      <c r="K1801" s="12"/>
    </row>
    <row r="1802" spans="3:11" x14ac:dyDescent="0.75">
      <c r="C1802" s="12"/>
      <c r="K1802" s="12"/>
    </row>
    <row r="1803" spans="3:11" x14ac:dyDescent="0.75">
      <c r="C1803" s="12"/>
      <c r="K1803" s="12"/>
    </row>
    <row r="1804" spans="3:11" x14ac:dyDescent="0.75">
      <c r="C1804" s="12"/>
      <c r="K1804" s="12"/>
    </row>
    <row r="1805" spans="3:11" x14ac:dyDescent="0.75">
      <c r="C1805" s="12"/>
      <c r="K1805" s="12"/>
    </row>
    <row r="1806" spans="3:11" x14ac:dyDescent="0.75">
      <c r="C1806" s="12"/>
      <c r="K1806" s="12"/>
    </row>
    <row r="1807" spans="3:11" x14ac:dyDescent="0.75">
      <c r="C1807" s="12"/>
      <c r="K1807" s="12"/>
    </row>
    <row r="1808" spans="3:11" x14ac:dyDescent="0.75">
      <c r="C1808" s="12"/>
      <c r="K1808" s="12"/>
    </row>
    <row r="1809" spans="3:11" x14ac:dyDescent="0.75">
      <c r="C1809" s="12"/>
      <c r="K1809" s="12"/>
    </row>
    <row r="1810" spans="3:11" x14ac:dyDescent="0.75">
      <c r="C1810" s="12"/>
      <c r="K1810" s="12"/>
    </row>
    <row r="1811" spans="3:11" x14ac:dyDescent="0.75">
      <c r="C1811" s="12"/>
      <c r="K1811" s="12"/>
    </row>
    <row r="1812" spans="3:11" x14ac:dyDescent="0.75">
      <c r="C1812" s="12"/>
      <c r="K1812" s="12"/>
    </row>
    <row r="1813" spans="3:11" x14ac:dyDescent="0.75">
      <c r="C1813" s="12"/>
      <c r="K1813" s="12"/>
    </row>
    <row r="1814" spans="3:11" x14ac:dyDescent="0.75">
      <c r="C1814" s="12"/>
      <c r="K1814" s="12"/>
    </row>
    <row r="1815" spans="3:11" x14ac:dyDescent="0.75">
      <c r="C1815" s="12"/>
      <c r="K1815" s="12"/>
    </row>
    <row r="1816" spans="3:11" x14ac:dyDescent="0.75">
      <c r="C1816" s="12"/>
      <c r="K1816" s="12"/>
    </row>
    <row r="1817" spans="3:11" x14ac:dyDescent="0.75">
      <c r="C1817" s="12"/>
      <c r="K1817" s="12"/>
    </row>
    <row r="1818" spans="3:11" x14ac:dyDescent="0.75">
      <c r="C1818" s="12"/>
      <c r="K1818" s="12"/>
    </row>
    <row r="1819" spans="3:11" x14ac:dyDescent="0.75">
      <c r="C1819" s="12"/>
      <c r="K1819" s="12"/>
    </row>
    <row r="1820" spans="3:11" x14ac:dyDescent="0.75">
      <c r="C1820" s="12"/>
      <c r="K1820" s="12"/>
    </row>
    <row r="1821" spans="3:11" x14ac:dyDescent="0.75">
      <c r="C1821" s="12"/>
      <c r="K1821" s="12"/>
    </row>
    <row r="1822" spans="3:11" x14ac:dyDescent="0.75">
      <c r="C1822" s="12"/>
      <c r="K1822" s="12"/>
    </row>
    <row r="1823" spans="3:11" x14ac:dyDescent="0.75">
      <c r="C1823" s="12"/>
      <c r="K1823" s="12"/>
    </row>
    <row r="1824" spans="3:11" x14ac:dyDescent="0.75">
      <c r="C1824" s="12"/>
      <c r="K1824" s="12"/>
    </row>
    <row r="1825" spans="3:11" x14ac:dyDescent="0.75">
      <c r="C1825" s="12"/>
      <c r="K1825" s="12"/>
    </row>
    <row r="1826" spans="3:11" x14ac:dyDescent="0.75">
      <c r="C1826" s="12"/>
      <c r="K1826" s="12"/>
    </row>
    <row r="1827" spans="3:11" x14ac:dyDescent="0.75">
      <c r="C1827" s="12"/>
      <c r="K1827" s="12"/>
    </row>
    <row r="1828" spans="3:11" x14ac:dyDescent="0.75">
      <c r="C1828" s="12"/>
      <c r="K1828" s="12"/>
    </row>
    <row r="1829" spans="3:11" x14ac:dyDescent="0.75">
      <c r="C1829" s="12"/>
      <c r="K1829" s="12"/>
    </row>
    <row r="1830" spans="3:11" x14ac:dyDescent="0.75">
      <c r="C1830" s="12"/>
      <c r="K1830" s="12"/>
    </row>
    <row r="1831" spans="3:11" x14ac:dyDescent="0.75">
      <c r="C1831" s="12"/>
      <c r="K1831" s="12"/>
    </row>
    <row r="1832" spans="3:11" x14ac:dyDescent="0.75">
      <c r="C1832" s="12"/>
      <c r="K1832" s="12"/>
    </row>
    <row r="1833" spans="3:11" x14ac:dyDescent="0.75">
      <c r="C1833" s="12"/>
      <c r="K1833" s="12"/>
    </row>
    <row r="1834" spans="3:11" x14ac:dyDescent="0.75">
      <c r="C1834" s="12"/>
      <c r="K1834" s="12"/>
    </row>
    <row r="1835" spans="3:11" x14ac:dyDescent="0.75">
      <c r="C1835" s="12"/>
      <c r="K1835" s="12"/>
    </row>
    <row r="1836" spans="3:11" x14ac:dyDescent="0.75">
      <c r="C1836" s="12"/>
      <c r="K1836" s="12"/>
    </row>
    <row r="1837" spans="3:11" x14ac:dyDescent="0.75">
      <c r="C1837" s="12"/>
      <c r="K1837" s="12"/>
    </row>
    <row r="1838" spans="3:11" x14ac:dyDescent="0.75">
      <c r="C1838" s="12"/>
      <c r="K1838" s="12"/>
    </row>
    <row r="1839" spans="3:11" x14ac:dyDescent="0.75">
      <c r="C1839" s="12"/>
      <c r="K1839" s="12"/>
    </row>
    <row r="1840" spans="3:11" x14ac:dyDescent="0.75">
      <c r="C1840" s="12"/>
      <c r="K1840" s="12"/>
    </row>
    <row r="1841" spans="3:11" x14ac:dyDescent="0.75">
      <c r="C1841" s="12"/>
      <c r="K1841" s="12"/>
    </row>
    <row r="1842" spans="3:11" x14ac:dyDescent="0.75">
      <c r="C1842" s="12"/>
      <c r="K1842" s="12"/>
    </row>
    <row r="1843" spans="3:11" x14ac:dyDescent="0.75">
      <c r="C1843" s="12"/>
      <c r="K1843" s="12"/>
    </row>
    <row r="1844" spans="3:11" x14ac:dyDescent="0.75">
      <c r="C1844" s="12"/>
      <c r="K1844" s="12"/>
    </row>
    <row r="1845" spans="3:11" x14ac:dyDescent="0.75">
      <c r="C1845" s="12"/>
      <c r="K1845" s="12"/>
    </row>
    <row r="1846" spans="3:11" x14ac:dyDescent="0.75">
      <c r="C1846" s="12"/>
      <c r="K1846" s="12"/>
    </row>
    <row r="1847" spans="3:11" x14ac:dyDescent="0.75">
      <c r="C1847" s="12"/>
      <c r="K1847" s="12"/>
    </row>
    <row r="1848" spans="3:11" x14ac:dyDescent="0.75">
      <c r="C1848" s="12"/>
      <c r="K1848" s="12"/>
    </row>
    <row r="1849" spans="3:11" x14ac:dyDescent="0.75">
      <c r="C1849" s="12"/>
      <c r="K1849" s="12"/>
    </row>
    <row r="1850" spans="3:11" x14ac:dyDescent="0.75">
      <c r="C1850" s="12"/>
      <c r="K1850" s="12"/>
    </row>
    <row r="1851" spans="3:11" x14ac:dyDescent="0.75">
      <c r="C1851" s="12"/>
      <c r="K1851" s="12"/>
    </row>
    <row r="1852" spans="3:11" x14ac:dyDescent="0.75">
      <c r="C1852" s="12"/>
      <c r="K1852" s="12"/>
    </row>
    <row r="1853" spans="3:11" x14ac:dyDescent="0.75">
      <c r="C1853" s="12"/>
      <c r="K1853" s="12"/>
    </row>
    <row r="1854" spans="3:11" x14ac:dyDescent="0.75">
      <c r="C1854" s="12"/>
      <c r="K1854" s="12"/>
    </row>
    <row r="1855" spans="3:11" x14ac:dyDescent="0.75">
      <c r="C1855" s="12"/>
      <c r="K1855" s="12"/>
    </row>
    <row r="1856" spans="3:11" x14ac:dyDescent="0.75">
      <c r="C1856" s="12"/>
      <c r="K1856" s="12"/>
    </row>
    <row r="1857" spans="3:11" x14ac:dyDescent="0.75">
      <c r="C1857" s="12"/>
      <c r="K1857" s="12"/>
    </row>
    <row r="1858" spans="3:11" x14ac:dyDescent="0.75">
      <c r="C1858" s="12"/>
      <c r="K1858" s="12"/>
    </row>
    <row r="1859" spans="3:11" x14ac:dyDescent="0.75">
      <c r="C1859" s="12"/>
      <c r="K1859" s="12"/>
    </row>
    <row r="1860" spans="3:11" x14ac:dyDescent="0.75">
      <c r="C1860" s="12"/>
      <c r="K1860" s="12"/>
    </row>
    <row r="1861" spans="3:11" x14ac:dyDescent="0.75">
      <c r="C1861" s="12"/>
      <c r="K1861" s="12"/>
    </row>
    <row r="1862" spans="3:11" x14ac:dyDescent="0.75">
      <c r="C1862" s="12"/>
      <c r="K1862" s="12"/>
    </row>
    <row r="1863" spans="3:11" x14ac:dyDescent="0.75">
      <c r="C1863" s="12"/>
      <c r="K1863" s="12"/>
    </row>
    <row r="1864" spans="3:11" x14ac:dyDescent="0.75">
      <c r="C1864" s="12"/>
      <c r="K1864" s="12"/>
    </row>
    <row r="1865" spans="3:11" x14ac:dyDescent="0.75">
      <c r="C1865" s="12"/>
      <c r="K1865" s="12"/>
    </row>
    <row r="1866" spans="3:11" x14ac:dyDescent="0.75">
      <c r="C1866" s="12"/>
      <c r="K1866" s="12"/>
    </row>
    <row r="1867" spans="3:11" x14ac:dyDescent="0.75">
      <c r="C1867" s="12"/>
      <c r="K1867" s="12"/>
    </row>
    <row r="1868" spans="3:11" x14ac:dyDescent="0.75">
      <c r="C1868" s="12"/>
      <c r="K1868" s="12"/>
    </row>
    <row r="1869" spans="3:11" x14ac:dyDescent="0.75">
      <c r="C1869" s="12"/>
      <c r="K1869" s="12"/>
    </row>
    <row r="1870" spans="3:11" x14ac:dyDescent="0.75">
      <c r="C1870" s="12"/>
      <c r="K1870" s="12"/>
    </row>
    <row r="1871" spans="3:11" x14ac:dyDescent="0.75">
      <c r="C1871" s="12"/>
      <c r="K1871" s="12"/>
    </row>
    <row r="1872" spans="3:11" x14ac:dyDescent="0.75">
      <c r="C1872" s="12"/>
      <c r="K1872" s="12"/>
    </row>
    <row r="1873" spans="3:11" x14ac:dyDescent="0.75">
      <c r="C1873" s="12"/>
      <c r="K1873" s="12"/>
    </row>
    <row r="1874" spans="3:11" x14ac:dyDescent="0.75">
      <c r="C1874" s="12"/>
      <c r="K1874" s="12"/>
    </row>
    <row r="1875" spans="3:11" x14ac:dyDescent="0.75">
      <c r="C1875" s="12"/>
      <c r="K1875" s="12"/>
    </row>
    <row r="1876" spans="3:11" x14ac:dyDescent="0.75">
      <c r="C1876" s="12"/>
      <c r="K1876" s="12"/>
    </row>
    <row r="1877" spans="3:11" x14ac:dyDescent="0.75">
      <c r="C1877" s="12"/>
      <c r="K1877" s="12"/>
    </row>
    <row r="1878" spans="3:11" x14ac:dyDescent="0.75">
      <c r="C1878" s="12"/>
      <c r="K1878" s="12"/>
    </row>
    <row r="1879" spans="3:11" x14ac:dyDescent="0.75">
      <c r="C1879" s="12"/>
      <c r="K1879" s="12"/>
    </row>
    <row r="1880" spans="3:11" x14ac:dyDescent="0.75">
      <c r="C1880" s="12"/>
      <c r="K1880" s="12"/>
    </row>
    <row r="1881" spans="3:11" x14ac:dyDescent="0.75">
      <c r="C1881" s="12"/>
      <c r="K1881" s="12"/>
    </row>
    <row r="1882" spans="3:11" x14ac:dyDescent="0.75">
      <c r="C1882" s="12"/>
      <c r="K1882" s="12"/>
    </row>
    <row r="1883" spans="3:11" x14ac:dyDescent="0.75">
      <c r="C1883" s="12"/>
      <c r="K1883" s="12"/>
    </row>
    <row r="1884" spans="3:11" x14ac:dyDescent="0.75">
      <c r="C1884" s="12"/>
      <c r="K1884" s="12"/>
    </row>
    <row r="1885" spans="3:11" x14ac:dyDescent="0.75">
      <c r="C1885" s="12"/>
      <c r="K1885" s="12"/>
    </row>
    <row r="1886" spans="3:11" x14ac:dyDescent="0.75">
      <c r="C1886" s="12"/>
      <c r="K1886" s="12"/>
    </row>
    <row r="1887" spans="3:11" x14ac:dyDescent="0.75">
      <c r="C1887" s="12"/>
      <c r="K1887" s="12"/>
    </row>
    <row r="1888" spans="3:11" x14ac:dyDescent="0.75">
      <c r="C1888" s="12"/>
      <c r="K1888" s="12"/>
    </row>
    <row r="1889" spans="3:11" x14ac:dyDescent="0.75">
      <c r="C1889" s="12"/>
      <c r="K1889" s="12"/>
    </row>
    <row r="1890" spans="3:11" x14ac:dyDescent="0.75">
      <c r="C1890" s="12"/>
      <c r="K1890" s="12"/>
    </row>
    <row r="1891" spans="3:11" x14ac:dyDescent="0.75">
      <c r="C1891" s="12"/>
      <c r="K1891" s="12"/>
    </row>
    <row r="1892" spans="3:11" x14ac:dyDescent="0.75">
      <c r="C1892" s="12"/>
      <c r="K1892" s="12"/>
    </row>
    <row r="1893" spans="3:11" x14ac:dyDescent="0.75">
      <c r="C1893" s="12"/>
      <c r="K1893" s="12"/>
    </row>
    <row r="1894" spans="3:11" x14ac:dyDescent="0.75">
      <c r="C1894" s="12"/>
      <c r="K1894" s="12"/>
    </row>
    <row r="1895" spans="3:11" x14ac:dyDescent="0.75">
      <c r="C1895" s="12"/>
      <c r="K1895" s="12"/>
    </row>
    <row r="1896" spans="3:11" x14ac:dyDescent="0.75">
      <c r="C1896" s="12"/>
      <c r="K1896" s="12"/>
    </row>
    <row r="1897" spans="3:11" x14ac:dyDescent="0.75">
      <c r="C1897" s="12"/>
      <c r="K1897" s="12"/>
    </row>
    <row r="1898" spans="3:11" x14ac:dyDescent="0.75">
      <c r="C1898" s="12"/>
      <c r="K1898" s="12"/>
    </row>
    <row r="1899" spans="3:11" x14ac:dyDescent="0.75">
      <c r="C1899" s="12"/>
      <c r="K1899" s="12"/>
    </row>
    <row r="1900" spans="3:11" x14ac:dyDescent="0.75">
      <c r="C1900" s="12"/>
      <c r="K1900" s="12"/>
    </row>
    <row r="1901" spans="3:11" x14ac:dyDescent="0.75">
      <c r="C1901" s="12"/>
      <c r="K1901" s="12"/>
    </row>
    <row r="1902" spans="3:11" x14ac:dyDescent="0.75">
      <c r="C1902" s="12"/>
      <c r="K1902" s="12"/>
    </row>
    <row r="1903" spans="3:11" x14ac:dyDescent="0.75">
      <c r="C1903" s="12"/>
      <c r="K1903" s="12"/>
    </row>
    <row r="1904" spans="3:11" x14ac:dyDescent="0.75">
      <c r="C1904" s="12"/>
      <c r="K1904" s="12"/>
    </row>
    <row r="1905" spans="3:11" x14ac:dyDescent="0.75">
      <c r="C1905" s="12"/>
      <c r="K1905" s="12"/>
    </row>
    <row r="1906" spans="3:11" x14ac:dyDescent="0.75">
      <c r="C1906" s="12"/>
      <c r="K1906" s="12"/>
    </row>
    <row r="1907" spans="3:11" x14ac:dyDescent="0.75">
      <c r="C1907" s="12"/>
      <c r="K1907" s="12"/>
    </row>
    <row r="1908" spans="3:11" x14ac:dyDescent="0.75">
      <c r="C1908" s="12"/>
      <c r="K1908" s="12"/>
    </row>
    <row r="1909" spans="3:11" x14ac:dyDescent="0.75">
      <c r="C1909" s="12"/>
      <c r="K1909" s="12"/>
    </row>
    <row r="1910" spans="3:11" x14ac:dyDescent="0.75">
      <c r="C1910" s="12"/>
      <c r="K1910" s="12"/>
    </row>
    <row r="1911" spans="3:11" x14ac:dyDescent="0.75">
      <c r="C1911" s="12"/>
      <c r="K1911" s="12"/>
    </row>
    <row r="1912" spans="3:11" x14ac:dyDescent="0.75">
      <c r="C1912" s="12"/>
      <c r="K1912" s="12"/>
    </row>
    <row r="1913" spans="3:11" x14ac:dyDescent="0.75">
      <c r="C1913" s="12"/>
      <c r="K1913" s="12"/>
    </row>
    <row r="1914" spans="3:11" x14ac:dyDescent="0.75">
      <c r="C1914" s="12"/>
      <c r="K1914" s="12"/>
    </row>
    <row r="1915" spans="3:11" x14ac:dyDescent="0.75">
      <c r="C1915" s="12"/>
      <c r="K1915" s="12"/>
    </row>
    <row r="1916" spans="3:11" x14ac:dyDescent="0.75">
      <c r="C1916" s="12"/>
      <c r="K1916" s="12"/>
    </row>
    <row r="1917" spans="3:11" x14ac:dyDescent="0.75">
      <c r="C1917" s="12"/>
      <c r="K1917" s="12"/>
    </row>
    <row r="1918" spans="3:11" x14ac:dyDescent="0.75">
      <c r="C1918" s="12"/>
      <c r="K1918" s="12"/>
    </row>
    <row r="1919" spans="3:11" x14ac:dyDescent="0.75">
      <c r="C1919" s="12"/>
      <c r="K1919" s="12"/>
    </row>
    <row r="1920" spans="3:11" x14ac:dyDescent="0.75">
      <c r="C1920" s="12"/>
      <c r="K1920" s="12"/>
    </row>
    <row r="1921" spans="3:11" x14ac:dyDescent="0.75">
      <c r="C1921" s="12"/>
      <c r="K1921" s="12"/>
    </row>
    <row r="1922" spans="3:11" x14ac:dyDescent="0.75">
      <c r="C1922" s="12"/>
      <c r="K1922" s="12"/>
    </row>
    <row r="1923" spans="3:11" x14ac:dyDescent="0.75">
      <c r="C1923" s="12"/>
      <c r="K1923" s="12"/>
    </row>
    <row r="1924" spans="3:11" x14ac:dyDescent="0.75">
      <c r="C1924" s="12"/>
      <c r="K1924" s="12"/>
    </row>
    <row r="1925" spans="3:11" x14ac:dyDescent="0.75">
      <c r="C1925" s="12"/>
      <c r="K1925" s="12"/>
    </row>
    <row r="1926" spans="3:11" x14ac:dyDescent="0.75">
      <c r="C1926" s="12"/>
      <c r="K1926" s="12"/>
    </row>
    <row r="1927" spans="3:11" x14ac:dyDescent="0.75">
      <c r="C1927" s="12"/>
      <c r="K1927" s="12"/>
    </row>
    <row r="1928" spans="3:11" x14ac:dyDescent="0.75">
      <c r="C1928" s="12"/>
      <c r="K1928" s="12"/>
    </row>
    <row r="1929" spans="3:11" x14ac:dyDescent="0.75">
      <c r="C1929" s="12"/>
      <c r="K1929" s="12"/>
    </row>
    <row r="1930" spans="3:11" x14ac:dyDescent="0.75">
      <c r="C1930" s="12"/>
      <c r="K1930" s="12"/>
    </row>
    <row r="1931" spans="3:11" x14ac:dyDescent="0.75">
      <c r="C1931" s="12"/>
      <c r="K1931" s="12"/>
    </row>
    <row r="1932" spans="3:11" x14ac:dyDescent="0.75">
      <c r="C1932" s="12"/>
      <c r="K1932" s="12"/>
    </row>
    <row r="1933" spans="3:11" x14ac:dyDescent="0.75">
      <c r="C1933" s="12"/>
      <c r="K1933" s="12"/>
    </row>
    <row r="1934" spans="3:11" x14ac:dyDescent="0.75">
      <c r="C1934" s="12"/>
      <c r="K1934" s="12"/>
    </row>
    <row r="1935" spans="3:11" x14ac:dyDescent="0.75">
      <c r="C1935" s="12"/>
      <c r="K1935" s="12"/>
    </row>
    <row r="1936" spans="3:11" x14ac:dyDescent="0.75">
      <c r="C1936" s="12"/>
      <c r="K1936" s="12"/>
    </row>
    <row r="1937" spans="3:11" x14ac:dyDescent="0.75">
      <c r="C1937" s="12"/>
      <c r="K1937" s="12"/>
    </row>
    <row r="1938" spans="3:11" x14ac:dyDescent="0.75">
      <c r="C1938" s="12"/>
      <c r="K1938" s="12"/>
    </row>
    <row r="1939" spans="3:11" x14ac:dyDescent="0.75">
      <c r="C1939" s="12"/>
      <c r="K1939" s="12"/>
    </row>
    <row r="1940" spans="3:11" x14ac:dyDescent="0.75">
      <c r="C1940" s="12"/>
      <c r="K1940" s="12"/>
    </row>
    <row r="1941" spans="3:11" x14ac:dyDescent="0.75">
      <c r="C1941" s="12"/>
      <c r="K1941" s="12"/>
    </row>
    <row r="1942" spans="3:11" x14ac:dyDescent="0.75">
      <c r="C1942" s="12"/>
      <c r="K1942" s="12"/>
    </row>
    <row r="1943" spans="3:11" x14ac:dyDescent="0.75">
      <c r="C1943" s="12"/>
      <c r="K1943" s="12"/>
    </row>
    <row r="1944" spans="3:11" x14ac:dyDescent="0.75">
      <c r="C1944" s="12"/>
      <c r="K1944" s="12"/>
    </row>
    <row r="1945" spans="3:11" x14ac:dyDescent="0.75">
      <c r="C1945" s="12"/>
      <c r="K1945" s="12"/>
    </row>
    <row r="1946" spans="3:11" x14ac:dyDescent="0.75">
      <c r="C1946" s="12"/>
      <c r="K1946" s="12"/>
    </row>
    <row r="1947" spans="3:11" x14ac:dyDescent="0.75">
      <c r="C1947" s="12"/>
      <c r="K1947" s="12"/>
    </row>
    <row r="1948" spans="3:11" x14ac:dyDescent="0.75">
      <c r="C1948" s="12"/>
      <c r="K1948" s="12"/>
    </row>
    <row r="1949" spans="3:11" x14ac:dyDescent="0.75">
      <c r="C1949" s="12"/>
      <c r="K1949" s="12"/>
    </row>
    <row r="1950" spans="3:11" x14ac:dyDescent="0.75">
      <c r="C1950" s="12"/>
      <c r="K1950" s="12"/>
    </row>
    <row r="1951" spans="3:11" x14ac:dyDescent="0.75">
      <c r="C1951" s="12"/>
      <c r="K1951" s="12"/>
    </row>
    <row r="1952" spans="3:11" x14ac:dyDescent="0.75">
      <c r="C1952" s="12"/>
      <c r="K1952" s="12"/>
    </row>
    <row r="1953" spans="3:11" x14ac:dyDescent="0.75">
      <c r="C1953" s="12"/>
      <c r="K1953" s="12"/>
    </row>
    <row r="1954" spans="3:11" x14ac:dyDescent="0.75">
      <c r="C1954" s="12"/>
      <c r="K1954" s="12"/>
    </row>
    <row r="1955" spans="3:11" x14ac:dyDescent="0.75">
      <c r="C1955" s="12"/>
      <c r="K1955" s="12"/>
    </row>
    <row r="1956" spans="3:11" x14ac:dyDescent="0.75">
      <c r="C1956" s="12"/>
      <c r="K1956" s="12"/>
    </row>
    <row r="1957" spans="3:11" x14ac:dyDescent="0.75">
      <c r="C1957" s="12"/>
      <c r="K1957" s="12"/>
    </row>
    <row r="1958" spans="3:11" x14ac:dyDescent="0.75">
      <c r="C1958" s="12"/>
      <c r="K1958" s="12"/>
    </row>
    <row r="1959" spans="3:11" x14ac:dyDescent="0.75">
      <c r="C1959" s="12"/>
      <c r="K1959" s="12"/>
    </row>
    <row r="1960" spans="3:11" x14ac:dyDescent="0.75">
      <c r="C1960" s="12"/>
      <c r="K1960" s="12"/>
    </row>
    <row r="1961" spans="3:11" x14ac:dyDescent="0.75">
      <c r="C1961" s="12"/>
      <c r="K1961" s="12"/>
    </row>
    <row r="1962" spans="3:11" x14ac:dyDescent="0.75">
      <c r="C1962" s="12"/>
      <c r="K1962" s="12"/>
    </row>
    <row r="1963" spans="3:11" x14ac:dyDescent="0.75">
      <c r="C1963" s="12"/>
      <c r="K1963" s="12"/>
    </row>
    <row r="1964" spans="3:11" x14ac:dyDescent="0.75">
      <c r="C1964" s="12"/>
      <c r="K1964" s="12"/>
    </row>
    <row r="1965" spans="3:11" x14ac:dyDescent="0.75">
      <c r="C1965" s="12"/>
      <c r="K1965" s="12"/>
    </row>
    <row r="1966" spans="3:11" x14ac:dyDescent="0.75">
      <c r="C1966" s="12"/>
      <c r="K1966" s="12"/>
    </row>
    <row r="1967" spans="3:11" x14ac:dyDescent="0.75">
      <c r="C1967" s="12"/>
      <c r="K1967" s="12"/>
    </row>
    <row r="1968" spans="3:11" x14ac:dyDescent="0.75">
      <c r="C1968" s="12"/>
      <c r="K1968" s="12"/>
    </row>
    <row r="1969" spans="3:11" x14ac:dyDescent="0.75">
      <c r="C1969" s="12"/>
      <c r="K1969" s="12"/>
    </row>
    <row r="1970" spans="3:11" x14ac:dyDescent="0.75">
      <c r="C1970" s="12"/>
      <c r="K1970" s="12"/>
    </row>
    <row r="1971" spans="3:11" x14ac:dyDescent="0.75">
      <c r="C1971" s="12"/>
      <c r="K1971" s="12"/>
    </row>
    <row r="1972" spans="3:11" x14ac:dyDescent="0.75">
      <c r="C1972" s="12"/>
      <c r="K1972" s="12"/>
    </row>
    <row r="1973" spans="3:11" x14ac:dyDescent="0.75">
      <c r="C1973" s="12"/>
      <c r="K1973" s="12"/>
    </row>
    <row r="1974" spans="3:11" x14ac:dyDescent="0.75">
      <c r="C1974" s="12"/>
      <c r="K1974" s="12"/>
    </row>
    <row r="1975" spans="3:11" x14ac:dyDescent="0.75">
      <c r="C1975" s="12"/>
      <c r="K1975" s="12"/>
    </row>
    <row r="1976" spans="3:11" x14ac:dyDescent="0.75">
      <c r="C1976" s="12"/>
      <c r="K1976" s="12"/>
    </row>
    <row r="1977" spans="3:11" x14ac:dyDescent="0.75">
      <c r="C1977" s="12"/>
      <c r="K1977" s="12"/>
    </row>
    <row r="1978" spans="3:11" x14ac:dyDescent="0.75">
      <c r="C1978" s="12"/>
      <c r="K1978" s="12"/>
    </row>
    <row r="1979" spans="3:11" x14ac:dyDescent="0.75">
      <c r="C1979" s="12"/>
      <c r="K1979" s="12"/>
    </row>
    <row r="1980" spans="3:11" x14ac:dyDescent="0.75">
      <c r="C1980" s="12"/>
      <c r="K1980" s="12"/>
    </row>
    <row r="1981" spans="3:11" x14ac:dyDescent="0.75">
      <c r="C1981" s="12"/>
      <c r="K1981" s="12"/>
    </row>
    <row r="1982" spans="3:11" x14ac:dyDescent="0.75">
      <c r="C1982" s="12"/>
      <c r="K1982" s="12"/>
    </row>
    <row r="1983" spans="3:11" x14ac:dyDescent="0.75">
      <c r="C1983" s="12"/>
      <c r="K1983" s="12"/>
    </row>
    <row r="1984" spans="3:11" x14ac:dyDescent="0.75">
      <c r="C1984" s="12"/>
      <c r="K1984" s="12"/>
    </row>
    <row r="1985" spans="3:11" x14ac:dyDescent="0.75">
      <c r="C1985" s="12"/>
      <c r="K1985" s="12"/>
    </row>
    <row r="1986" spans="3:11" x14ac:dyDescent="0.75">
      <c r="C1986" s="12"/>
      <c r="K1986" s="12"/>
    </row>
    <row r="1987" spans="3:11" x14ac:dyDescent="0.75">
      <c r="C1987" s="12"/>
      <c r="K1987" s="12"/>
    </row>
    <row r="1988" spans="3:11" x14ac:dyDescent="0.75">
      <c r="C1988" s="12"/>
      <c r="K1988" s="12"/>
    </row>
    <row r="1989" spans="3:11" x14ac:dyDescent="0.75">
      <c r="C1989" s="12"/>
      <c r="K1989" s="12"/>
    </row>
    <row r="1990" spans="3:11" x14ac:dyDescent="0.75">
      <c r="C1990" s="12"/>
      <c r="K1990" s="12"/>
    </row>
    <row r="1991" spans="3:11" x14ac:dyDescent="0.75">
      <c r="C1991" s="12"/>
      <c r="K1991" s="12"/>
    </row>
    <row r="1992" spans="3:11" x14ac:dyDescent="0.75">
      <c r="C1992" s="12"/>
      <c r="K1992" s="12"/>
    </row>
    <row r="1993" spans="3:11" x14ac:dyDescent="0.75">
      <c r="C1993" s="12"/>
      <c r="K1993" s="12"/>
    </row>
    <row r="1994" spans="3:11" x14ac:dyDescent="0.75">
      <c r="C1994" s="12"/>
      <c r="K1994" s="12"/>
    </row>
    <row r="1995" spans="3:11" x14ac:dyDescent="0.75">
      <c r="C1995" s="12"/>
      <c r="K1995" s="12"/>
    </row>
    <row r="1996" spans="3:11" x14ac:dyDescent="0.75">
      <c r="C1996" s="12"/>
      <c r="K1996" s="12"/>
    </row>
    <row r="1997" spans="3:11" x14ac:dyDescent="0.75">
      <c r="C1997" s="12"/>
      <c r="K1997" s="12"/>
    </row>
    <row r="1998" spans="3:11" x14ac:dyDescent="0.75">
      <c r="C1998" s="12"/>
      <c r="K1998" s="12"/>
    </row>
    <row r="1999" spans="3:11" x14ac:dyDescent="0.75">
      <c r="C1999" s="12"/>
      <c r="K1999" s="12"/>
    </row>
    <row r="2000" spans="3:11" x14ac:dyDescent="0.75">
      <c r="C2000" s="12"/>
      <c r="K2000" s="12"/>
    </row>
    <row r="2001" spans="3:11" x14ac:dyDescent="0.75">
      <c r="C2001" s="12"/>
      <c r="K2001" s="12"/>
    </row>
    <row r="2002" spans="3:11" x14ac:dyDescent="0.75">
      <c r="C2002" s="12"/>
      <c r="K2002" s="12"/>
    </row>
    <row r="2003" spans="3:11" x14ac:dyDescent="0.75">
      <c r="C2003" s="12"/>
      <c r="K2003" s="12"/>
    </row>
    <row r="2004" spans="3:11" x14ac:dyDescent="0.75">
      <c r="C2004" s="12"/>
      <c r="K2004" s="12"/>
    </row>
    <row r="2005" spans="3:11" x14ac:dyDescent="0.75">
      <c r="C2005" s="12"/>
      <c r="K2005" s="12"/>
    </row>
    <row r="2006" spans="3:11" x14ac:dyDescent="0.75">
      <c r="C2006" s="12"/>
      <c r="K2006" s="12"/>
    </row>
    <row r="2007" spans="3:11" x14ac:dyDescent="0.75">
      <c r="C2007" s="12"/>
      <c r="K2007" s="12"/>
    </row>
    <row r="2008" spans="3:11" x14ac:dyDescent="0.75">
      <c r="C2008" s="12"/>
      <c r="K2008" s="12"/>
    </row>
    <row r="2009" spans="3:11" x14ac:dyDescent="0.75">
      <c r="C2009" s="12"/>
      <c r="K2009" s="12"/>
    </row>
    <row r="2010" spans="3:11" x14ac:dyDescent="0.75">
      <c r="C2010" s="12"/>
      <c r="K2010" s="12"/>
    </row>
    <row r="2011" spans="3:11" x14ac:dyDescent="0.75">
      <c r="C2011" s="12"/>
      <c r="K2011" s="12"/>
    </row>
    <row r="2012" spans="3:11" x14ac:dyDescent="0.75">
      <c r="C2012" s="12"/>
      <c r="K2012" s="12"/>
    </row>
    <row r="2013" spans="3:11" x14ac:dyDescent="0.75">
      <c r="C2013" s="12"/>
      <c r="K2013" s="12"/>
    </row>
    <row r="2014" spans="3:11" x14ac:dyDescent="0.75">
      <c r="C2014" s="12"/>
      <c r="K2014" s="12"/>
    </row>
    <row r="2015" spans="3:11" x14ac:dyDescent="0.75">
      <c r="C2015" s="12"/>
      <c r="K2015" s="12"/>
    </row>
    <row r="2016" spans="3:11" x14ac:dyDescent="0.75">
      <c r="C2016" s="12"/>
      <c r="K2016" s="12"/>
    </row>
    <row r="2017" spans="3:11" x14ac:dyDescent="0.75">
      <c r="C2017" s="12"/>
      <c r="K2017" s="12"/>
    </row>
    <row r="2018" spans="3:11" x14ac:dyDescent="0.75">
      <c r="C2018" s="12"/>
      <c r="K2018" s="12"/>
    </row>
    <row r="2019" spans="3:11" x14ac:dyDescent="0.75">
      <c r="C2019" s="12"/>
      <c r="K2019" s="12"/>
    </row>
    <row r="2020" spans="3:11" x14ac:dyDescent="0.75">
      <c r="C2020" s="12"/>
      <c r="K2020" s="12"/>
    </row>
    <row r="2021" spans="3:11" x14ac:dyDescent="0.75">
      <c r="C2021" s="12"/>
      <c r="K2021" s="12"/>
    </row>
    <row r="2022" spans="3:11" x14ac:dyDescent="0.75">
      <c r="C2022" s="12"/>
      <c r="K2022" s="12"/>
    </row>
    <row r="2023" spans="3:11" x14ac:dyDescent="0.75">
      <c r="C2023" s="12"/>
      <c r="K2023" s="12"/>
    </row>
    <row r="2024" spans="3:11" x14ac:dyDescent="0.75">
      <c r="C2024" s="12"/>
      <c r="K2024" s="12"/>
    </row>
    <row r="2025" spans="3:11" x14ac:dyDescent="0.75">
      <c r="C2025" s="12"/>
      <c r="K2025" s="12"/>
    </row>
    <row r="2026" spans="3:11" x14ac:dyDescent="0.75">
      <c r="C2026" s="12"/>
      <c r="K2026" s="12"/>
    </row>
    <row r="2027" spans="3:11" x14ac:dyDescent="0.75">
      <c r="C2027" s="12"/>
      <c r="K2027" s="12"/>
    </row>
    <row r="2028" spans="3:11" x14ac:dyDescent="0.75">
      <c r="C2028" s="12"/>
      <c r="K2028" s="12"/>
    </row>
    <row r="2029" spans="3:11" x14ac:dyDescent="0.75">
      <c r="C2029" s="12"/>
      <c r="K2029" s="12"/>
    </row>
    <row r="2030" spans="3:11" x14ac:dyDescent="0.75">
      <c r="C2030" s="12"/>
      <c r="K2030" s="12"/>
    </row>
    <row r="2031" spans="3:11" x14ac:dyDescent="0.75">
      <c r="C2031" s="12"/>
      <c r="K2031" s="12"/>
    </row>
    <row r="2032" spans="3:11" x14ac:dyDescent="0.75">
      <c r="C2032" s="12"/>
      <c r="K2032" s="12"/>
    </row>
    <row r="2033" spans="3:11" x14ac:dyDescent="0.75">
      <c r="C2033" s="12"/>
      <c r="K2033" s="12"/>
    </row>
    <row r="2034" spans="3:11" x14ac:dyDescent="0.75">
      <c r="C2034" s="12"/>
      <c r="K2034" s="12"/>
    </row>
    <row r="2035" spans="3:11" x14ac:dyDescent="0.75">
      <c r="C2035" s="12"/>
      <c r="K2035" s="12"/>
    </row>
    <row r="2036" spans="3:11" x14ac:dyDescent="0.75">
      <c r="C2036" s="12"/>
      <c r="K2036" s="12"/>
    </row>
    <row r="2037" spans="3:11" x14ac:dyDescent="0.75">
      <c r="C2037" s="12"/>
      <c r="K2037" s="12"/>
    </row>
    <row r="2038" spans="3:11" x14ac:dyDescent="0.75">
      <c r="C2038" s="12"/>
      <c r="K2038" s="12"/>
    </row>
    <row r="2039" spans="3:11" x14ac:dyDescent="0.75">
      <c r="C2039" s="12"/>
      <c r="K2039" s="12"/>
    </row>
    <row r="2040" spans="3:11" x14ac:dyDescent="0.75">
      <c r="C2040" s="12"/>
      <c r="K2040" s="12"/>
    </row>
    <row r="2041" spans="3:11" x14ac:dyDescent="0.75">
      <c r="C2041" s="12"/>
      <c r="K2041" s="12"/>
    </row>
    <row r="2042" spans="3:11" x14ac:dyDescent="0.75">
      <c r="C2042" s="12"/>
      <c r="K2042" s="12"/>
    </row>
    <row r="2043" spans="3:11" x14ac:dyDescent="0.75">
      <c r="C2043" s="12"/>
      <c r="K2043" s="12"/>
    </row>
    <row r="2044" spans="3:11" x14ac:dyDescent="0.75">
      <c r="C2044" s="12"/>
      <c r="K2044" s="12"/>
    </row>
    <row r="2045" spans="3:11" x14ac:dyDescent="0.75">
      <c r="C2045" s="12"/>
      <c r="K2045" s="12"/>
    </row>
    <row r="2046" spans="3:11" x14ac:dyDescent="0.75">
      <c r="C2046" s="12"/>
      <c r="K2046" s="12"/>
    </row>
    <row r="2047" spans="3:11" x14ac:dyDescent="0.75">
      <c r="C2047" s="12"/>
      <c r="K2047" s="12"/>
    </row>
    <row r="2048" spans="3:11" x14ac:dyDescent="0.75">
      <c r="C2048" s="12"/>
      <c r="K2048" s="12"/>
    </row>
    <row r="2049" spans="3:11" x14ac:dyDescent="0.75">
      <c r="C2049" s="12"/>
      <c r="K2049" s="12"/>
    </row>
    <row r="2050" spans="3:11" x14ac:dyDescent="0.75">
      <c r="C2050" s="12"/>
      <c r="K2050" s="12"/>
    </row>
    <row r="2051" spans="3:11" x14ac:dyDescent="0.75">
      <c r="C2051" s="12"/>
      <c r="K2051" s="12"/>
    </row>
    <row r="2052" spans="3:11" x14ac:dyDescent="0.75">
      <c r="C2052" s="12"/>
      <c r="K2052" s="12"/>
    </row>
    <row r="2053" spans="3:11" x14ac:dyDescent="0.75">
      <c r="C2053" s="12"/>
      <c r="K2053" s="12"/>
    </row>
    <row r="2054" spans="3:11" x14ac:dyDescent="0.75">
      <c r="C2054" s="12"/>
      <c r="K2054" s="12"/>
    </row>
    <row r="2055" spans="3:11" x14ac:dyDescent="0.75">
      <c r="C2055" s="12"/>
      <c r="K2055" s="12"/>
    </row>
    <row r="2056" spans="3:11" x14ac:dyDescent="0.75">
      <c r="C2056" s="12"/>
      <c r="K2056" s="12"/>
    </row>
    <row r="2057" spans="3:11" x14ac:dyDescent="0.75">
      <c r="C2057" s="12"/>
      <c r="K2057" s="12"/>
    </row>
    <row r="2058" spans="3:11" x14ac:dyDescent="0.75">
      <c r="C2058" s="12"/>
      <c r="K2058" s="12"/>
    </row>
    <row r="2059" spans="3:11" x14ac:dyDescent="0.75">
      <c r="C2059" s="12"/>
      <c r="K2059" s="12"/>
    </row>
    <row r="2060" spans="3:11" x14ac:dyDescent="0.75">
      <c r="C2060" s="12"/>
      <c r="K2060" s="12"/>
    </row>
    <row r="2061" spans="3:11" x14ac:dyDescent="0.75">
      <c r="C2061" s="12"/>
      <c r="K2061" s="12"/>
    </row>
    <row r="2062" spans="3:11" x14ac:dyDescent="0.75">
      <c r="C2062" s="12"/>
      <c r="K2062" s="12"/>
    </row>
    <row r="2063" spans="3:11" x14ac:dyDescent="0.75">
      <c r="C2063" s="12"/>
      <c r="K2063" s="12"/>
    </row>
    <row r="2064" spans="3:11" x14ac:dyDescent="0.75">
      <c r="C2064" s="12"/>
      <c r="K2064" s="12"/>
    </row>
    <row r="2065" spans="3:11" x14ac:dyDescent="0.75">
      <c r="C2065" s="12"/>
      <c r="K2065" s="12"/>
    </row>
    <row r="2066" spans="3:11" x14ac:dyDescent="0.75">
      <c r="C2066" s="12"/>
      <c r="K2066" s="12"/>
    </row>
    <row r="2067" spans="3:11" x14ac:dyDescent="0.75">
      <c r="C2067" s="12"/>
      <c r="K2067" s="12"/>
    </row>
    <row r="2068" spans="3:11" x14ac:dyDescent="0.75">
      <c r="C2068" s="12"/>
      <c r="K2068" s="12"/>
    </row>
    <row r="2069" spans="3:11" x14ac:dyDescent="0.75">
      <c r="C2069" s="12"/>
      <c r="K2069" s="12"/>
    </row>
    <row r="2070" spans="3:11" x14ac:dyDescent="0.75">
      <c r="C2070" s="12"/>
      <c r="K2070" s="12"/>
    </row>
    <row r="2071" spans="3:11" x14ac:dyDescent="0.75">
      <c r="C2071" s="12"/>
      <c r="K2071" s="12"/>
    </row>
    <row r="2072" spans="3:11" x14ac:dyDescent="0.75">
      <c r="C2072" s="12"/>
      <c r="K2072" s="12"/>
    </row>
    <row r="2073" spans="3:11" x14ac:dyDescent="0.75">
      <c r="C2073" s="12"/>
      <c r="K2073" s="12"/>
    </row>
    <row r="2074" spans="3:11" x14ac:dyDescent="0.75">
      <c r="C2074" s="12"/>
      <c r="K2074" s="12"/>
    </row>
    <row r="2075" spans="3:11" x14ac:dyDescent="0.75">
      <c r="C2075" s="12"/>
      <c r="K2075" s="12"/>
    </row>
    <row r="2076" spans="3:11" x14ac:dyDescent="0.75">
      <c r="C2076" s="12"/>
      <c r="K2076" s="12"/>
    </row>
    <row r="2077" spans="3:11" x14ac:dyDescent="0.75">
      <c r="C2077" s="12"/>
      <c r="K2077" s="12"/>
    </row>
    <row r="2078" spans="3:11" x14ac:dyDescent="0.75">
      <c r="C2078" s="12"/>
      <c r="K2078" s="12"/>
    </row>
    <row r="2079" spans="3:11" x14ac:dyDescent="0.75">
      <c r="C2079" s="12"/>
      <c r="K2079" s="12"/>
    </row>
    <row r="2080" spans="3:11" x14ac:dyDescent="0.75">
      <c r="C2080" s="12"/>
      <c r="K2080" s="12"/>
    </row>
    <row r="2081" spans="3:11" x14ac:dyDescent="0.75">
      <c r="C2081" s="12"/>
      <c r="K2081" s="12"/>
    </row>
    <row r="2082" spans="3:11" x14ac:dyDescent="0.75">
      <c r="C2082" s="12"/>
      <c r="K2082" s="12"/>
    </row>
    <row r="2083" spans="3:11" x14ac:dyDescent="0.75">
      <c r="C2083" s="12"/>
      <c r="K2083" s="12"/>
    </row>
    <row r="2084" spans="3:11" x14ac:dyDescent="0.75">
      <c r="C2084" s="12"/>
      <c r="K2084" s="12"/>
    </row>
    <row r="2085" spans="3:11" x14ac:dyDescent="0.75">
      <c r="C2085" s="12"/>
      <c r="K2085" s="12"/>
    </row>
    <row r="2086" spans="3:11" x14ac:dyDescent="0.75">
      <c r="C2086" s="12"/>
      <c r="K2086" s="12"/>
    </row>
    <row r="2087" spans="3:11" x14ac:dyDescent="0.75">
      <c r="C2087" s="12"/>
      <c r="K2087" s="12"/>
    </row>
    <row r="2088" spans="3:11" x14ac:dyDescent="0.75">
      <c r="C2088" s="12"/>
      <c r="K2088" s="12"/>
    </row>
    <row r="2089" spans="3:11" x14ac:dyDescent="0.75">
      <c r="C2089" s="12"/>
      <c r="K2089" s="12"/>
    </row>
    <row r="2090" spans="3:11" x14ac:dyDescent="0.75">
      <c r="C2090" s="12"/>
      <c r="K2090" s="12"/>
    </row>
    <row r="2091" spans="3:11" x14ac:dyDescent="0.75">
      <c r="C2091" s="12"/>
      <c r="K2091" s="12"/>
    </row>
    <row r="2092" spans="3:11" x14ac:dyDescent="0.75">
      <c r="C2092" s="12"/>
      <c r="K2092" s="12"/>
    </row>
    <row r="2093" spans="3:11" x14ac:dyDescent="0.75">
      <c r="C2093" s="12"/>
      <c r="K2093" s="12"/>
    </row>
    <row r="2094" spans="3:11" x14ac:dyDescent="0.75">
      <c r="C2094" s="12"/>
      <c r="K2094" s="12"/>
    </row>
    <row r="2095" spans="3:11" x14ac:dyDescent="0.75">
      <c r="C2095" s="12"/>
      <c r="K2095" s="12"/>
    </row>
    <row r="2096" spans="3:11" x14ac:dyDescent="0.75">
      <c r="C2096" s="12"/>
      <c r="K2096" s="12"/>
    </row>
    <row r="2097" spans="3:11" x14ac:dyDescent="0.75">
      <c r="C2097" s="12"/>
      <c r="K2097" s="12"/>
    </row>
    <row r="2098" spans="3:11" x14ac:dyDescent="0.75">
      <c r="C2098" s="12"/>
      <c r="K2098" s="12"/>
    </row>
    <row r="2099" spans="3:11" x14ac:dyDescent="0.75">
      <c r="C2099" s="12"/>
      <c r="K2099" s="12"/>
    </row>
    <row r="2100" spans="3:11" x14ac:dyDescent="0.75">
      <c r="C2100" s="12"/>
      <c r="K2100" s="12"/>
    </row>
    <row r="2101" spans="3:11" x14ac:dyDescent="0.75">
      <c r="C2101" s="12"/>
      <c r="K2101" s="12"/>
    </row>
    <row r="2102" spans="3:11" x14ac:dyDescent="0.75">
      <c r="C2102" s="12"/>
      <c r="K2102" s="12"/>
    </row>
    <row r="2103" spans="3:11" x14ac:dyDescent="0.75">
      <c r="C2103" s="12"/>
      <c r="K2103" s="12"/>
    </row>
    <row r="2104" spans="3:11" x14ac:dyDescent="0.75">
      <c r="C2104" s="12"/>
      <c r="K2104" s="12"/>
    </row>
    <row r="2105" spans="3:11" x14ac:dyDescent="0.75">
      <c r="C2105" s="12"/>
      <c r="K2105" s="12"/>
    </row>
    <row r="2106" spans="3:11" x14ac:dyDescent="0.75">
      <c r="C2106" s="12"/>
      <c r="K2106" s="12"/>
    </row>
    <row r="2107" spans="3:11" x14ac:dyDescent="0.75">
      <c r="C2107" s="12"/>
      <c r="K2107" s="12"/>
    </row>
    <row r="2108" spans="3:11" x14ac:dyDescent="0.75">
      <c r="C2108" s="12"/>
      <c r="K2108" s="12"/>
    </row>
    <row r="2109" spans="3:11" x14ac:dyDescent="0.75">
      <c r="C2109" s="12"/>
      <c r="K2109" s="12"/>
    </row>
    <row r="2110" spans="3:11" x14ac:dyDescent="0.75">
      <c r="C2110" s="12"/>
      <c r="K2110" s="12"/>
    </row>
    <row r="2111" spans="3:11" x14ac:dyDescent="0.75">
      <c r="C2111" s="12"/>
      <c r="K2111" s="12"/>
    </row>
    <row r="2112" spans="3:11" x14ac:dyDescent="0.75">
      <c r="C2112" s="12"/>
      <c r="K2112" s="12"/>
    </row>
    <row r="2113" spans="3:11" x14ac:dyDescent="0.75">
      <c r="C2113" s="12"/>
      <c r="K2113" s="12"/>
    </row>
    <row r="2114" spans="3:11" x14ac:dyDescent="0.75">
      <c r="C2114" s="12"/>
      <c r="K2114" s="12"/>
    </row>
    <row r="2115" spans="3:11" x14ac:dyDescent="0.75">
      <c r="C2115" s="12"/>
      <c r="K2115" s="12"/>
    </row>
    <row r="2116" spans="3:11" x14ac:dyDescent="0.75">
      <c r="C2116" s="12"/>
      <c r="K2116" s="12"/>
    </row>
    <row r="2117" spans="3:11" x14ac:dyDescent="0.75">
      <c r="C2117" s="12"/>
      <c r="K2117" s="12"/>
    </row>
    <row r="2118" spans="3:11" x14ac:dyDescent="0.75">
      <c r="C2118" s="12"/>
      <c r="K2118" s="12"/>
    </row>
    <row r="2119" spans="3:11" x14ac:dyDescent="0.75">
      <c r="C2119" s="12"/>
      <c r="K2119" s="12"/>
    </row>
    <row r="2120" spans="3:11" x14ac:dyDescent="0.75">
      <c r="C2120" s="12"/>
      <c r="K2120" s="12"/>
    </row>
    <row r="2121" spans="3:11" x14ac:dyDescent="0.75">
      <c r="C2121" s="12"/>
      <c r="K2121" s="12"/>
    </row>
    <row r="2122" spans="3:11" x14ac:dyDescent="0.75">
      <c r="C2122" s="12"/>
      <c r="K2122" s="12"/>
    </row>
    <row r="2123" spans="3:11" x14ac:dyDescent="0.75">
      <c r="C2123" s="12"/>
      <c r="K2123" s="12"/>
    </row>
    <row r="2124" spans="3:11" x14ac:dyDescent="0.75">
      <c r="C2124" s="12"/>
      <c r="K2124" s="12"/>
    </row>
    <row r="2125" spans="3:11" x14ac:dyDescent="0.75">
      <c r="C2125" s="12"/>
      <c r="K2125" s="12"/>
    </row>
    <row r="2126" spans="3:11" x14ac:dyDescent="0.75">
      <c r="C2126" s="12"/>
      <c r="K2126" s="12"/>
    </row>
    <row r="2127" spans="3:11" x14ac:dyDescent="0.75">
      <c r="C2127" s="12"/>
      <c r="K2127" s="12"/>
    </row>
    <row r="2128" spans="3:11" x14ac:dyDescent="0.75">
      <c r="C2128" s="12"/>
      <c r="K2128" s="12"/>
    </row>
    <row r="2129" spans="3:11" x14ac:dyDescent="0.75">
      <c r="C2129" s="12"/>
      <c r="K2129" s="12"/>
    </row>
    <row r="2130" spans="3:11" x14ac:dyDescent="0.75">
      <c r="C2130" s="12"/>
      <c r="K2130" s="12"/>
    </row>
    <row r="2131" spans="3:11" x14ac:dyDescent="0.75">
      <c r="C2131" s="12"/>
      <c r="K2131" s="12"/>
    </row>
    <row r="2132" spans="3:11" x14ac:dyDescent="0.75">
      <c r="C2132" s="12"/>
      <c r="K2132" s="12"/>
    </row>
    <row r="2133" spans="3:11" x14ac:dyDescent="0.75">
      <c r="C2133" s="12"/>
      <c r="K2133" s="12"/>
    </row>
    <row r="2134" spans="3:11" x14ac:dyDescent="0.75">
      <c r="C2134" s="12"/>
      <c r="K2134" s="12"/>
    </row>
    <row r="2135" spans="3:11" x14ac:dyDescent="0.75">
      <c r="C2135" s="12"/>
      <c r="K2135" s="12"/>
    </row>
    <row r="2136" spans="3:11" x14ac:dyDescent="0.75">
      <c r="C2136" s="12"/>
      <c r="K2136" s="12"/>
    </row>
    <row r="2137" spans="3:11" x14ac:dyDescent="0.75">
      <c r="C2137" s="12"/>
      <c r="K2137" s="12"/>
    </row>
    <row r="2138" spans="3:11" x14ac:dyDescent="0.75">
      <c r="C2138" s="12"/>
      <c r="K2138" s="12"/>
    </row>
    <row r="2139" spans="3:11" x14ac:dyDescent="0.75">
      <c r="C2139" s="12"/>
      <c r="K2139" s="12"/>
    </row>
    <row r="2140" spans="3:11" x14ac:dyDescent="0.75">
      <c r="C2140" s="12"/>
      <c r="K2140" s="12"/>
    </row>
    <row r="2141" spans="3:11" x14ac:dyDescent="0.75">
      <c r="C2141" s="12"/>
      <c r="K2141" s="12"/>
    </row>
    <row r="2142" spans="3:11" x14ac:dyDescent="0.75">
      <c r="C2142" s="12"/>
      <c r="K2142" s="12"/>
    </row>
    <row r="2143" spans="3:11" x14ac:dyDescent="0.75">
      <c r="C2143" s="12"/>
      <c r="K2143" s="12"/>
    </row>
    <row r="2144" spans="3:11" x14ac:dyDescent="0.75">
      <c r="C2144" s="12"/>
      <c r="K2144" s="12"/>
    </row>
    <row r="2145" spans="3:11" x14ac:dyDescent="0.75">
      <c r="C2145" s="12"/>
      <c r="K2145" s="12"/>
    </row>
    <row r="2146" spans="3:11" x14ac:dyDescent="0.75">
      <c r="C2146" s="12"/>
      <c r="K2146" s="12"/>
    </row>
    <row r="2147" spans="3:11" x14ac:dyDescent="0.75">
      <c r="C2147" s="12"/>
      <c r="K2147" s="12"/>
    </row>
    <row r="2148" spans="3:11" x14ac:dyDescent="0.75">
      <c r="C2148" s="12"/>
      <c r="K2148" s="12"/>
    </row>
    <row r="2149" spans="3:11" x14ac:dyDescent="0.75">
      <c r="C2149" s="12"/>
      <c r="K2149" s="12"/>
    </row>
    <row r="2150" spans="3:11" x14ac:dyDescent="0.75">
      <c r="C2150" s="12"/>
      <c r="K2150" s="12"/>
    </row>
    <row r="2151" spans="3:11" x14ac:dyDescent="0.75">
      <c r="C2151" s="12"/>
      <c r="K2151" s="12"/>
    </row>
    <row r="2152" spans="3:11" x14ac:dyDescent="0.75">
      <c r="C2152" s="12"/>
      <c r="K2152" s="12"/>
    </row>
    <row r="2153" spans="3:11" x14ac:dyDescent="0.75">
      <c r="C2153" s="12"/>
      <c r="K2153" s="12"/>
    </row>
    <row r="2154" spans="3:11" x14ac:dyDescent="0.75">
      <c r="C2154" s="12"/>
      <c r="K2154" s="12"/>
    </row>
    <row r="2155" spans="3:11" x14ac:dyDescent="0.75">
      <c r="C2155" s="12"/>
      <c r="K2155" s="12"/>
    </row>
    <row r="2156" spans="3:11" x14ac:dyDescent="0.75">
      <c r="C2156" s="12"/>
      <c r="K2156" s="12"/>
    </row>
    <row r="2157" spans="3:11" x14ac:dyDescent="0.75">
      <c r="C2157" s="12"/>
      <c r="K2157" s="12"/>
    </row>
    <row r="2158" spans="3:11" x14ac:dyDescent="0.75">
      <c r="C2158" s="12"/>
      <c r="K2158" s="12"/>
    </row>
  </sheetData>
  <mergeCells count="2">
    <mergeCell ref="D1:G1"/>
    <mergeCell ref="M1:S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84DA-CB13-4867-BD3E-102E3D9EB54E}">
  <dimension ref="A1"/>
  <sheetViews>
    <sheetView rightToLeft="1" workbookViewId="0">
      <selection activeCell="D5" sqref="D5"/>
    </sheetView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76437-7817-4DF9-B37A-D059BED53F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پرس</vt:lpstr>
      <vt:lpstr>خط لعاب</vt:lpstr>
      <vt:lpstr>تجمیع خط لعاب</vt:lpstr>
      <vt:lpstr>کوره </vt:lpstr>
      <vt:lpstr>تجمیع خط کوره</vt:lpstr>
      <vt:lpstr>بسته بندی </vt:lpstr>
      <vt:lpstr>تجمیع بسته بندی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kp</cp:lastModifiedBy>
  <dcterms:created xsi:type="dcterms:W3CDTF">2025-12-02T19:57:11Z</dcterms:created>
  <dcterms:modified xsi:type="dcterms:W3CDTF">2026-02-09T15:02:04Z</dcterms:modified>
</cp:coreProperties>
</file>